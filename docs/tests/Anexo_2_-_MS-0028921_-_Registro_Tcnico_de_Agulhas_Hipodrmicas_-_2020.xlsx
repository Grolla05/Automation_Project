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- 0028921 Limpeza" sheetId="1" r:id="rId5"/>
    <sheet state="visible" name="MS- 0028921 PH " sheetId="2" r:id="rId6"/>
    <sheet state="visible" name="MS- 0028921 Metais extraíveis" sheetId="3" r:id="rId7"/>
    <sheet state="visible" name="MS-0028930 ISO 80369-7 e 20" sheetId="4" r:id="rId8"/>
    <sheet state="visible" name="MS-0028930 ISO 80369-20" sheetId="5" r:id="rId9"/>
    <sheet state="visible" name="MS-0028921 Dimensões ISO962 " sheetId="6" r:id="rId10"/>
    <sheet state="visible" name="MS-0028921 Rigidez ISO9626" sheetId="7" r:id="rId11"/>
    <sheet state="visible" name="MS-0028921 Resistência quebra" sheetId="8" r:id="rId12"/>
    <sheet state="visible" name="MS-0028921 Resist. Corrosão" sheetId="9" r:id="rId13"/>
    <sheet state="visible" name="MS-0028921 Toler. ISO 7864" sheetId="10" r:id="rId14"/>
    <sheet state="visible" name="MS-0028921 Canhão e cânula " sheetId="11" r:id="rId15"/>
    <sheet state="visible" name="MS-0028921 Diâmetro Interno" sheetId="12" r:id="rId16"/>
    <sheet state="hidden" name="MS- 0028921 ISO 594-1 e 594-2" sheetId="13" r:id="rId17"/>
  </sheets>
  <definedNames/>
  <calcPr/>
</workbook>
</file>

<file path=xl/sharedStrings.xml><?xml version="1.0" encoding="utf-8"?>
<sst xmlns="http://schemas.openxmlformats.org/spreadsheetml/2006/main" count="433" uniqueCount="170">
  <si>
    <t>Formulário de Registro para Ensaio Inspeção Passa/Falha</t>
  </si>
  <si>
    <t>Ordem de Serviço - OS</t>
  </si>
  <si>
    <t>Técnico responsável:</t>
  </si>
  <si>
    <t>Norma e Item da norma:</t>
  </si>
  <si>
    <t>ABNT NBR ISO 7864:2020 - Item 4.3 Limpeza</t>
  </si>
  <si>
    <t>Fabricante:</t>
  </si>
  <si>
    <t>Produto:</t>
  </si>
  <si>
    <t>Agulha hipodérmica estéril para uso único</t>
  </si>
  <si>
    <t>Modelo:</t>
  </si>
  <si>
    <t xml:space="preserve">Observações: </t>
  </si>
  <si>
    <t>Informações adicionais do ensaio</t>
  </si>
  <si>
    <t>Equipamentos utilizados:</t>
  </si>
  <si>
    <t>Luximetro TUV-LAB-0941, Termohigrômetro 9058343.</t>
  </si>
  <si>
    <t>Data de execução do ensaio:</t>
  </si>
  <si>
    <t>Condições Ambientais</t>
  </si>
  <si>
    <t xml:space="preserve">Temperatura (°C): </t>
  </si>
  <si>
    <t xml:space="preserve">Umidade (%): </t>
  </si>
  <si>
    <t>Atende o requisito ?</t>
  </si>
  <si>
    <t>Observações</t>
  </si>
  <si>
    <t xml:space="preserve">  </t>
  </si>
  <si>
    <t xml:space="preserve">Conferido por:  </t>
  </si>
  <si>
    <t>Formulário de Registro para PH</t>
  </si>
  <si>
    <t>ABNT NBR ISO 7864:2020 - Item 4.4 Limites de acidez ou alcalinidade</t>
  </si>
  <si>
    <t>pHmetro TUV-LAB-1518, Estufa TUV-LAB-0918, Cronômetro 9018144, Termohigrômetro TUV-LAB-1520.</t>
  </si>
  <si>
    <t>Tempo de preparação de amostra</t>
  </si>
  <si>
    <t xml:space="preserve">Início: </t>
  </si>
  <si>
    <t xml:space="preserve">Término: </t>
  </si>
  <si>
    <t>Produto químicos</t>
  </si>
  <si>
    <t xml:space="preserve">Números: </t>
  </si>
  <si>
    <t>Valor do pH do</t>
  </si>
  <si>
    <t xml:space="preserve">Tolerância </t>
  </si>
  <si>
    <t xml:space="preserve"> Fluído de controle</t>
  </si>
  <si>
    <t xml:space="preserve"> Valor Máximo Especificado </t>
  </si>
  <si>
    <t xml:space="preserve"> Valor Mínimo Especificado </t>
  </si>
  <si>
    <t>Valor do PH</t>
  </si>
  <si>
    <t>Verificação</t>
  </si>
  <si>
    <t xml:space="preserve">Conferido por: </t>
  </si>
  <si>
    <t>Formulário de Registro de Metais Extraíveis</t>
  </si>
  <si>
    <t>ABNT NBR ISO 7864:2020 - Item 4.5 Limites para metais extraíveis</t>
  </si>
  <si>
    <t>Espectrofotômetro TUV-LAB-1132, Estufa TUV-LAB-918, Termohigrômetro TUV-LAB-1520, Cronômetro 9018144.</t>
  </si>
  <si>
    <t>Temperatura (°C):</t>
  </si>
  <si>
    <t xml:space="preserve">Agulha e Seringas </t>
  </si>
  <si>
    <t>Chumbo (mg/L)</t>
  </si>
  <si>
    <t>Estanho (mg/L)</t>
  </si>
  <si>
    <t>Zinco (mg/L)</t>
  </si>
  <si>
    <t>Ferro  (mg/L)</t>
  </si>
  <si>
    <t>Somatório (mg/L)</t>
  </si>
  <si>
    <t>Cádmio (mg/L)</t>
  </si>
  <si>
    <t>&lt; L.Q.</t>
  </si>
  <si>
    <t>&lt; 5</t>
  </si>
  <si>
    <t>Equipos</t>
  </si>
  <si>
    <t>Bário (mg/L)</t>
  </si>
  <si>
    <t>Cromo (mg/L)</t>
  </si>
  <si>
    <t>Cobre (mg/L)</t>
  </si>
  <si>
    <t>Chumbo   (mg/L)</t>
  </si>
  <si>
    <t>Formulário de Registro para ISO 80369-7 e 20</t>
  </si>
  <si>
    <t>ABNT NBR ISO 7864:2020 - Item 4.8.1 Encaixe cônico da norma ABNT NBR ISO 80369-7:2022 e ABNT NBR ISO 80369-20:2021</t>
  </si>
  <si>
    <t>O item 6.1.1 diz que o ensaio de vaz liq. pode ser feito pelo método do item 6.1.2 ou 6.1.3, fiz pelo 6.1.3. - ( Item 6.5 e 6.6 Não aplicavel p bico Slip.)</t>
  </si>
  <si>
    <t>Informações adicionais de ensaio</t>
  </si>
  <si>
    <t>Manômetro TUV-LAB-1471, Cronômetro 9018144, Dinamômetro TUV-LAB-1112, Termohigrômetro TUV-LAB-1520 e TUV-LAB-1116, TUV-LAB-1135-5 e Calibres Ruptura TUV-LAB-1135-78-109, Dispositivo de força e torque TUV-LAB-0988, Dsipositivo de apoio MES-049 e TUV-LAB-1469.</t>
  </si>
  <si>
    <t xml:space="preserve"> Umidade (%): </t>
  </si>
  <si>
    <t>6.1.1. - Vazamento de líquido                                Atende ao requisito?</t>
  </si>
  <si>
    <t xml:space="preserve">6.1.2. - Vazamento por decaimento de pressão          Atende ao requisito?      </t>
  </si>
  <si>
    <t>6.1.3. - Vazamento de liquido por pressão positiva                              Atende ao requisito?</t>
  </si>
  <si>
    <t>6.2. - Vazamento de ar por pressão sub atmosférica                            Atende ao requisito?</t>
  </si>
  <si>
    <t>6.3. - Esforço de ruptura              Atende ao requisito?</t>
  </si>
  <si>
    <t>6.4. - Resistência de separação de carga axial        Atende ao requisito?</t>
  </si>
  <si>
    <t>6.5. - Resistencia de separação por desatarraxo           Atende ao requisito?</t>
  </si>
  <si>
    <t>6.6. - Resistência à fadiga                       Atende ao requisito?</t>
  </si>
  <si>
    <t>Formulário de Registro para Vazamento de ar pressã</t>
  </si>
  <si>
    <t>ABNT NBR ISO 80369-7 e 20 - 6.2 Vazamento de ar por pressão sub-atmosféria</t>
  </si>
  <si>
    <t xml:space="preserve">Termohigrômetro TUV-LAB 1520, Cronômetro TUV-LAB 9018144, Dispositivo de força e torque TUV-LAV 0988, Calibres TUV-LAB-1135-5, Monovacuômetro TUV LAB 0950. </t>
  </si>
  <si>
    <t xml:space="preserve">Temperatura(ºC): </t>
  </si>
  <si>
    <t xml:space="preserve">Umidade(%): </t>
  </si>
  <si>
    <t xml:space="preserve">Volume mL </t>
  </si>
  <si>
    <t>Limite Pa.m3/s</t>
  </si>
  <si>
    <t>Sp-  Pressão min (KPa)</t>
  </si>
  <si>
    <t>tp - Pressão inicial do teste (KPa)</t>
  </si>
  <si>
    <t>Pressão final do teste ( kPa)</t>
  </si>
  <si>
    <t>Δp (Variação de pressão) Pa</t>
  </si>
  <si>
    <t>Δt Tempo do ensaio (s)</t>
  </si>
  <si>
    <t>L = Taxa de vazamento (Pa.m3/s)</t>
  </si>
  <si>
    <t>Veridito</t>
  </si>
  <si>
    <t>Anexo 1 - MS-0028930_Rev.03 - 6.2 Vazamento de ar por pressão sub-atmosféria da ABNT NBR ISO 80369-7 e 20.</t>
  </si>
  <si>
    <t>Formulário de Registro para Diâmetro externo da  Agulha - Cânula 9626</t>
  </si>
  <si>
    <t>ABNT NBR ISO 9626:2020 - Item 5.6 Dimensões (Diâmetro Externo e Interno)</t>
  </si>
  <si>
    <t>Micrômetro TUV-LAB-0902 , Projetor de Perfil UCMEL-031, Termohigrômetro 9058343 e Termohigrômetro TUV-LAB-1116.</t>
  </si>
  <si>
    <t>Diâmetro Externo Nominal (mm)</t>
  </si>
  <si>
    <t>Tolerância - Valor Mínimo Especificado (mm)</t>
  </si>
  <si>
    <t>Tolerância - Valor Máximo Especificado (mm)</t>
  </si>
  <si>
    <t>Diâmetro interno mínimo (mm)</t>
  </si>
  <si>
    <t>Tipo de parede</t>
  </si>
  <si>
    <t>X,XX</t>
  </si>
  <si>
    <t>X,XXX</t>
  </si>
  <si>
    <t>Fina</t>
  </si>
  <si>
    <t>Diâmetro externo Medido (mm)</t>
  </si>
  <si>
    <t>Diâmetro interno Medido (mm)</t>
  </si>
  <si>
    <t>Anexo 2 - MS- 0028921_Rev.04 - Dimensões - (Diâmetro Externo e Interno).</t>
  </si>
  <si>
    <t>Formulário de Registro para Rigidez da cânula -9626  Agulha</t>
  </si>
  <si>
    <t>ABNT NBR ISO 9626:2020 - Item 5.8 Rigidez (Item 4.10.1 da 7864:2020)</t>
  </si>
  <si>
    <t>Dispositivo de Rigidez TUV-LAB-0970, Termohigrômetro TUV-LAB-1116, Paquimetro TUV-LAB-1146.</t>
  </si>
  <si>
    <t>Diâmetro externo da cânula (mm)</t>
  </si>
  <si>
    <t xml:space="preserve">Tipo de parede </t>
  </si>
  <si>
    <t>Vão Ajustável (mm)</t>
  </si>
  <si>
    <t>Força de Dobramento (N)</t>
  </si>
  <si>
    <t>Deflexão Máxima (mm)</t>
  </si>
  <si>
    <t>Força Aplicada (N)</t>
  </si>
  <si>
    <t>Deflexão Medida (mm)</t>
  </si>
  <si>
    <t>Fator de correção da Deflexão</t>
  </si>
  <si>
    <t>Valor corrigido</t>
  </si>
  <si>
    <t>Formulário de Registro para Resistência à quebra - Agulhas</t>
  </si>
  <si>
    <t>ABNT NBR ISO 9626:2020 - Item 5.9 Resistência à quebra (Item 4.10.1 da 7864:2020)</t>
  </si>
  <si>
    <t>Paquimetro TUV-LAB-1147, Termohigrômetro TUV-LAB-1116, Dispositivo de R.Quebra TUV-LAB-0938.</t>
  </si>
  <si>
    <t>Distância do vão (mm)</t>
  </si>
  <si>
    <t>Ângulo aplicado</t>
  </si>
  <si>
    <t>Atende ao requisito ?</t>
  </si>
  <si>
    <t>Formulário de Registro de  Resistência à Corrosão -  Cânula</t>
  </si>
  <si>
    <t>ABNT NBR ISO 9626:2020 -  Item 5.10 Resistência à corrosão (Item 4.10.1 da 7864:2020)</t>
  </si>
  <si>
    <t>Cronômetro 9018144, Termohigrômetro TUV-LAB-1520.</t>
  </si>
  <si>
    <t xml:space="preserve">Tempo de ensaio </t>
  </si>
  <si>
    <t>Produtos químicos</t>
  </si>
  <si>
    <t>Apresenta sinais de corrosão?</t>
  </si>
  <si>
    <t>Formulário de Registro para Tolerância do comprimento da cânula - Agulha</t>
  </si>
  <si>
    <t>ABNT NBR ISO 7864:2020 - Item 4.10.2 Tolerância do comprimento.</t>
  </si>
  <si>
    <t>Paquímetro TUV-LAB-1147, Termohigrômetro 9058343.</t>
  </si>
  <si>
    <t>Comprimento da cânula (mm)</t>
  </si>
  <si>
    <t>Tolerância Valor Máximo Especificado (mm)</t>
  </si>
  <si>
    <t xml:space="preserve">Tolerância Valor Mínimo Especificado (mm) </t>
  </si>
  <si>
    <t>Comprimento Medido (mm)</t>
  </si>
  <si>
    <t>Formulário de Registro para União entre o canhão e a cânula - Agulha</t>
  </si>
  <si>
    <t>ABNT NBR ISO 7864:2020 - 4.12 União entre o canhão e a cânula</t>
  </si>
  <si>
    <t xml:space="preserve"> </t>
  </si>
  <si>
    <t>Dispositivo de tração e compressão TUV-LAB-0917, Termohigrômetro TUV-LAB-1116.</t>
  </si>
  <si>
    <t>Diâmetro externo nominal da agulha (mm)</t>
  </si>
  <si>
    <t>Força mínima permitida (N)</t>
  </si>
  <si>
    <t>Força de ruptura medida (N)</t>
  </si>
  <si>
    <t>Formulário de Registro para Tolerância do Diâmetro interno do tubo da Cânula da Agulha</t>
  </si>
  <si>
    <t>ABNT NBR ISO 7864:2020 - 4.13 Diâmetro interno</t>
  </si>
  <si>
    <t>Conjunto de pinos padrões TUV-LAB-0948 , Termohigrometro 9058343.</t>
  </si>
  <si>
    <t>Umidade (%): 51</t>
  </si>
  <si>
    <t>Verificação do diâmetro do pino, antes do uso (mm)</t>
  </si>
  <si>
    <t>Equipamento utilizado na verificação:</t>
  </si>
  <si>
    <t>TUV-LAB-0902 Micômetro</t>
  </si>
  <si>
    <t>Diâmetro do pino (mm)</t>
  </si>
  <si>
    <t>Passou pelo pino ?</t>
  </si>
  <si>
    <t xml:space="preserve">Formulário de Registro para ISO 594-1 </t>
  </si>
  <si>
    <t>ABNT NBR ISO 594-1:2003 - Requisitos gerais</t>
  </si>
  <si>
    <t>Dinamômetro TUV-LAB-1112, Termohigrômetro TUV-LAB-1116, Calibre TUV-LAB-1135-2, Calibre TUV-LAB-1135-5 e Calibres Ruptura 9015825, Manômetro TUV-LAB-1471, Cronômetro 9018144, Termohigrômetro TUV-LAB-1520, Peso padrão UC-MEL-635, Disp de apoio TUV-LAB 0988, Disp de apoio TUV-LAB 1469.</t>
  </si>
  <si>
    <t>ABNT    NBR  ISO 594-1</t>
  </si>
  <si>
    <t>4.1 - Calibração                                 Atende ao requisito?</t>
  </si>
  <si>
    <t>4.2 Vazamento de Liquidos                           Atende ao requisito?</t>
  </si>
  <si>
    <t>4.3 Vazamento de ar                     Atende ao requisito?</t>
  </si>
  <si>
    <t>4.4 Força de Separação   Atende ao requisito?</t>
  </si>
  <si>
    <t>4.5 - Esforço de  Ruptura  Atende ao requisito?</t>
  </si>
  <si>
    <t>Observação</t>
  </si>
  <si>
    <t>Conferido por: João J. da Silva.</t>
  </si>
  <si>
    <t xml:space="preserve">Formulário de Registro para ISO 594-2 </t>
  </si>
  <si>
    <t>ABNT NBR ISO 594-2:2003 - Montagem Fixa</t>
  </si>
  <si>
    <t>Dinamometro , Termohigrometro, Calibre , Calibre  e Calibres , Manometro , Cronometro , Termohigromêtro , Peso padrão , Disp de apoio , Disp de apoio .</t>
  </si>
  <si>
    <t xml:space="preserve">Temperatura (°C):                                         </t>
  </si>
  <si>
    <t xml:space="preserve"> Umidade (%):</t>
  </si>
  <si>
    <t>ABNT  NBR  ISO 594-2</t>
  </si>
  <si>
    <t>4.1 - Calibração                                Atende ao requisito?</t>
  </si>
  <si>
    <t xml:space="preserve">4.2 Vazamento de Liquidos  e ar              Atende ao requisito?      </t>
  </si>
  <si>
    <t>4.3 Força de Separaçao                     Atende ao requisito?</t>
  </si>
  <si>
    <t>4.4 Torque Desatarraxante          Atende ao requisito?</t>
  </si>
  <si>
    <t>4.5 - Facilidade de montagem                 Atende ao requisito?</t>
  </si>
  <si>
    <t>4.6 Resistência Fadiga           Atende ao requisito?</t>
  </si>
  <si>
    <t>observação</t>
  </si>
  <si>
    <t>Conferido por: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</si>
</sst>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00"/>
    <numFmt numFmtId="165" formatCode="0.00000000"/>
    <numFmt numFmtId="166" formatCode="0.0000"/>
    <numFmt numFmtId="167" formatCode="0.0"/>
    <numFmt numFmtId="168" formatCode="0.0000000"/>
    <numFmt numFmtId="169" formatCode="0.000"/>
  </numFmts>
  <fonts count="21">
    <font>
      <sz val="11.0"/>
      <color theme="1"/>
      <name val="Calibri"/>
      <scheme val="minor"/>
    </font>
    <font>
      <sz val="10.0"/>
      <color theme="1"/>
      <name val="Arial"/>
    </font>
    <font>
      <b/>
      <sz val="10.0"/>
      <color theme="1"/>
      <name val="Arial"/>
    </font>
    <font/>
    <font>
      <sz val="10.0"/>
      <color theme="0"/>
      <name val="Arial"/>
    </font>
    <font>
      <sz val="11.0"/>
      <color theme="1"/>
      <name val="Calibri"/>
    </font>
    <font>
      <sz val="10.0"/>
      <color rgb="FFFF0000"/>
      <name val="Arial"/>
    </font>
    <font>
      <b/>
      <sz val="10.0"/>
      <color rgb="FFFF0000"/>
      <name val="Arial"/>
    </font>
    <font>
      <sz val="11.0"/>
      <color rgb="FFFF0000"/>
      <name val="Calibri"/>
    </font>
    <font>
      <b/>
      <sz val="10.0"/>
      <color theme="0"/>
      <name val="Arial"/>
    </font>
    <font>
      <b/>
      <sz val="11.0"/>
      <color theme="1"/>
      <name val="Calibri"/>
    </font>
    <font>
      <sz val="11.0"/>
      <color rgb="FF92D050"/>
      <name val="Calibri"/>
    </font>
    <font>
      <b/>
      <sz val="11.0"/>
      <color rgb="FF7030A0"/>
      <name val="Calibri"/>
    </font>
    <font>
      <sz val="11.0"/>
      <color theme="0"/>
      <name val="Calibri"/>
    </font>
    <font>
      <sz val="10.0"/>
      <color theme="1"/>
      <name val="Calibri"/>
    </font>
    <font>
      <b/>
      <sz val="10.0"/>
      <color theme="1"/>
      <name val="Calibri"/>
    </font>
    <font>
      <b/>
      <sz val="9.0"/>
      <color theme="1"/>
      <name val="Arial"/>
    </font>
    <font>
      <b/>
      <sz val="14.0"/>
      <color theme="1"/>
      <name val="Arial"/>
    </font>
    <font>
      <color theme="1"/>
      <name val="Calibri"/>
      <scheme val="minor"/>
    </font>
    <font>
      <b/>
      <sz val="10.0"/>
      <color rgb="FFAF1182"/>
      <name val="Arial"/>
    </font>
    <font>
      <b/>
      <sz val="11.0"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C6D9F0"/>
        <bgColor rgb="FFC6D9F0"/>
      </patternFill>
    </fill>
    <fill>
      <patternFill patternType="solid">
        <fgColor rgb="FF95B3D7"/>
        <bgColor rgb="FF95B3D7"/>
      </patternFill>
    </fill>
    <fill>
      <patternFill patternType="solid">
        <fgColor rgb="FFA5A5A5"/>
        <bgColor rgb="FFA5A5A5"/>
      </patternFill>
    </fill>
  </fills>
  <borders count="4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/>
    </border>
    <border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right/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top/>
      <bottom/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bottom/>
    </border>
    <border>
      <bottom/>
    </border>
    <border>
      <right style="thin">
        <color rgb="FF000000"/>
      </right>
      <bottom/>
    </border>
    <border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0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10" fillId="0" fontId="1" numFmtId="0" xfId="0" applyBorder="1" applyFont="1"/>
    <xf borderId="11" fillId="0" fontId="2" numFmtId="0" xfId="0" applyAlignment="1" applyBorder="1" applyFont="1">
      <alignment horizontal="left"/>
    </xf>
    <xf borderId="12" fillId="0" fontId="3" numFmtId="0" xfId="0" applyBorder="1" applyFont="1"/>
    <xf borderId="11" fillId="0" fontId="1" numFmtId="0" xfId="0" applyAlignment="1" applyBorder="1" applyFont="1">
      <alignment horizontal="left"/>
    </xf>
    <xf borderId="10" fillId="0" fontId="1" numFmtId="0" xfId="0" applyAlignment="1" applyBorder="1" applyFont="1">
      <alignment vertical="center"/>
    </xf>
    <xf borderId="11" fillId="0" fontId="1" numFmtId="0" xfId="0" applyAlignment="1" applyBorder="1" applyFont="1">
      <alignment horizontal="left" shrinkToFit="0" wrapText="1"/>
    </xf>
    <xf borderId="11" fillId="3" fontId="2" numFmtId="0" xfId="0" applyAlignment="1" applyBorder="1" applyFont="1">
      <alignment horizontal="center" vertical="center"/>
    </xf>
    <xf borderId="13" fillId="0" fontId="3" numFmtId="0" xfId="0" applyBorder="1" applyFont="1"/>
    <xf borderId="11" fillId="0" fontId="4" numFmtId="0" xfId="0" applyAlignment="1" applyBorder="1" applyFont="1">
      <alignment horizontal="left"/>
    </xf>
    <xf borderId="11" fillId="0" fontId="1" numFmtId="14" xfId="0" applyAlignment="1" applyBorder="1" applyFont="1" applyNumberFormat="1">
      <alignment horizontal="left"/>
    </xf>
    <xf borderId="11" fillId="0" fontId="1" numFmtId="0" xfId="0" applyBorder="1" applyFont="1"/>
    <xf borderId="0" fillId="0" fontId="2" numFmtId="0" xfId="0" applyAlignment="1" applyFont="1">
      <alignment horizontal="center"/>
    </xf>
    <xf borderId="10" fillId="4" fontId="2" numFmtId="0" xfId="0" applyAlignment="1" applyBorder="1" applyFill="1" applyFont="1">
      <alignment horizontal="center"/>
    </xf>
    <xf borderId="0" fillId="0" fontId="2" numFmtId="0" xfId="0" applyFont="1"/>
    <xf borderId="10" fillId="4" fontId="1" numFmtId="0" xfId="0" applyBorder="1" applyFont="1"/>
    <xf borderId="10" fillId="2" fontId="1" numFmtId="0" xfId="0" applyBorder="1" applyFont="1"/>
    <xf borderId="10" fillId="4" fontId="1" numFmtId="0" xfId="0" applyAlignment="1" applyBorder="1" applyFont="1">
      <alignment horizontal="center" shrinkToFit="0" vertical="top" wrapText="1"/>
    </xf>
    <xf borderId="14" fillId="2" fontId="1" numFmtId="0" xfId="0" applyAlignment="1" applyBorder="1" applyFont="1">
      <alignment shrinkToFit="0" vertical="top" wrapText="1"/>
    </xf>
    <xf borderId="15" fillId="2" fontId="2" numFmtId="0" xfId="0" applyAlignment="1" applyBorder="1" applyFont="1">
      <alignment horizontal="left" vertical="top"/>
    </xf>
    <xf borderId="16" fillId="0" fontId="3" numFmtId="0" xfId="0" applyBorder="1" applyFont="1"/>
    <xf borderId="14" fillId="2" fontId="1" numFmtId="0" xfId="0" applyBorder="1" applyFont="1"/>
    <xf borderId="0" fillId="0" fontId="1" numFmtId="0" xfId="0" applyAlignment="1" applyFont="1">
      <alignment horizontal="center" shrinkToFit="0" vertical="top" wrapText="1"/>
    </xf>
    <xf borderId="11" fillId="3" fontId="1" numFmtId="0" xfId="0" applyAlignment="1" applyBorder="1" applyFont="1">
      <alignment horizontal="center"/>
    </xf>
    <xf borderId="11" fillId="0" fontId="4" numFmtId="0" xfId="0" applyBorder="1" applyFont="1"/>
    <xf borderId="10" fillId="0" fontId="2" numFmtId="0" xfId="0" applyBorder="1" applyFont="1"/>
    <xf borderId="11" fillId="0" fontId="1" numFmtId="14" xfId="0" applyBorder="1" applyFont="1" applyNumberFormat="1"/>
    <xf borderId="10" fillId="0" fontId="1" numFmtId="14" xfId="0" applyBorder="1" applyFont="1" applyNumberFormat="1"/>
    <xf borderId="0" fillId="0" fontId="1" numFmtId="14" xfId="0" applyFont="1" applyNumberFormat="1"/>
    <xf borderId="17" fillId="4" fontId="2" numFmtId="0" xfId="0" applyAlignment="1" applyBorder="1" applyFont="1">
      <alignment horizontal="center"/>
    </xf>
    <xf borderId="18" fillId="4" fontId="2" numFmtId="0" xfId="0" applyAlignment="1" applyBorder="1" applyFont="1">
      <alignment horizontal="center"/>
    </xf>
    <xf borderId="19" fillId="4" fontId="2" numFmtId="0" xfId="0" applyAlignment="1" applyBorder="1" applyFont="1">
      <alignment horizontal="center"/>
    </xf>
    <xf borderId="20" fillId="4" fontId="2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0" fillId="4" fontId="1" numFmtId="2" xfId="0" applyAlignment="1" applyBorder="1" applyFont="1" applyNumberFormat="1">
      <alignment horizontal="center"/>
    </xf>
    <xf borderId="0" fillId="0" fontId="5" numFmtId="0" xfId="0" applyAlignment="1" applyFont="1">
      <alignment vertical="center"/>
    </xf>
    <xf borderId="10" fillId="0" fontId="1" numFmtId="2" xfId="0" applyAlignment="1" applyBorder="1" applyFont="1" applyNumberFormat="1">
      <alignment horizontal="center"/>
    </xf>
    <xf borderId="10" fillId="4" fontId="1" numFmtId="0" xfId="0" applyAlignment="1" applyBorder="1" applyFont="1">
      <alignment horizontal="center"/>
    </xf>
    <xf borderId="15" fillId="2" fontId="2" numFmtId="0" xfId="0" applyAlignment="1" applyBorder="1" applyFont="1">
      <alignment horizontal="left" shrinkToFit="0" vertical="top" wrapText="1"/>
    </xf>
    <xf borderId="14" fillId="2" fontId="1" numFmtId="0" xfId="0" applyAlignment="1" applyBorder="1" applyFont="1">
      <alignment horizontal="center" shrinkToFit="0" vertical="top" wrapText="1"/>
    </xf>
    <xf borderId="0" fillId="0" fontId="1" numFmtId="0" xfId="0" applyAlignment="1" applyFont="1">
      <alignment shrinkToFit="0" vertical="top" wrapText="1"/>
    </xf>
    <xf borderId="0" fillId="0" fontId="5" numFmtId="0" xfId="0" applyAlignment="1" applyFont="1">
      <alignment horizontal="center"/>
    </xf>
    <xf borderId="21" fillId="0" fontId="3" numFmtId="0" xfId="0" applyBorder="1" applyFont="1"/>
    <xf borderId="22" fillId="0" fontId="3" numFmtId="0" xfId="0" applyBorder="1" applyFont="1"/>
    <xf borderId="23" fillId="0" fontId="3" numFmtId="0" xfId="0" applyBorder="1" applyFont="1"/>
    <xf borderId="12" fillId="0" fontId="1" numFmtId="0" xfId="0" applyBorder="1" applyFont="1"/>
    <xf borderId="11" fillId="0" fontId="6" numFmtId="0" xfId="0" applyAlignment="1" applyBorder="1" applyFont="1">
      <alignment horizontal="left"/>
    </xf>
    <xf borderId="24" fillId="3" fontId="1" numFmtId="0" xfId="0" applyAlignment="1" applyBorder="1" applyFont="1">
      <alignment horizontal="center"/>
    </xf>
    <xf borderId="25" fillId="0" fontId="3" numFmtId="0" xfId="0" applyBorder="1" applyFont="1"/>
    <xf borderId="26" fillId="0" fontId="3" numFmtId="0" xfId="0" applyBorder="1" applyFont="1"/>
    <xf borderId="13" fillId="0" fontId="1" numFmtId="0" xfId="0" applyAlignment="1" applyBorder="1" applyFont="1">
      <alignment horizontal="left"/>
    </xf>
    <xf borderId="13" fillId="0" fontId="1" numFmtId="14" xfId="0" applyAlignment="1" applyBorder="1" applyFont="1" applyNumberFormat="1">
      <alignment horizontal="left"/>
    </xf>
    <xf borderId="0" fillId="0" fontId="1" numFmtId="14" xfId="0" applyAlignment="1" applyFont="1" applyNumberFormat="1">
      <alignment horizontal="center"/>
    </xf>
    <xf borderId="0" fillId="0" fontId="1" numFmtId="14" xfId="0" applyAlignment="1" applyFont="1" applyNumberFormat="1">
      <alignment horizontal="left"/>
    </xf>
    <xf borderId="0" fillId="0" fontId="1" numFmtId="0" xfId="0" applyAlignment="1" applyFont="1">
      <alignment horizontal="left"/>
    </xf>
    <xf borderId="11" fillId="4" fontId="2" numFmtId="0" xfId="0" applyAlignment="1" applyBorder="1" applyFont="1">
      <alignment horizontal="center"/>
    </xf>
    <xf borderId="14" fillId="2" fontId="6" numFmtId="0" xfId="0" applyBorder="1" applyFont="1"/>
    <xf borderId="10" fillId="4" fontId="2" numFmtId="164" xfId="0" applyAlignment="1" applyBorder="1" applyFont="1" applyNumberFormat="1">
      <alignment horizontal="center"/>
    </xf>
    <xf borderId="10" fillId="4" fontId="2" numFmtId="165" xfId="0" applyAlignment="1" applyBorder="1" applyFont="1" applyNumberFormat="1">
      <alignment horizontal="center"/>
    </xf>
    <xf borderId="14" fillId="2" fontId="2" numFmtId="0" xfId="0" applyBorder="1" applyFont="1"/>
    <xf borderId="10" fillId="0" fontId="1" numFmtId="0" xfId="0" applyAlignment="1" applyBorder="1" applyFont="1">
      <alignment horizontal="center"/>
    </xf>
    <xf borderId="10" fillId="0" fontId="4" numFmtId="0" xfId="0" applyAlignment="1" applyBorder="1" applyFont="1">
      <alignment horizontal="center"/>
    </xf>
    <xf borderId="10" fillId="0" fontId="4" numFmtId="166" xfId="0" applyAlignment="1" applyBorder="1" applyFont="1" applyNumberFormat="1">
      <alignment horizontal="center" vertical="center"/>
    </xf>
    <xf borderId="27" fillId="2" fontId="1" numFmtId="166" xfId="0" applyAlignment="1" applyBorder="1" applyFont="1" applyNumberFormat="1">
      <alignment horizontal="center"/>
    </xf>
    <xf borderId="14" fillId="2" fontId="1" numFmtId="166" xfId="0" applyBorder="1" applyFont="1" applyNumberFormat="1"/>
    <xf borderId="0" fillId="0" fontId="1" numFmtId="166" xfId="0" applyFont="1" applyNumberFormat="1"/>
    <xf borderId="28" fillId="2" fontId="2" numFmtId="0" xfId="0" applyBorder="1" applyFont="1"/>
    <xf borderId="28" fillId="2" fontId="6" numFmtId="0" xfId="0" applyBorder="1" applyFont="1"/>
    <xf borderId="29" fillId="2" fontId="2" numFmtId="0" xfId="0" applyAlignment="1" applyBorder="1" applyFont="1">
      <alignment horizontal="left" shrinkToFit="0" vertical="top" wrapText="1"/>
    </xf>
    <xf borderId="30" fillId="0" fontId="3" numFmtId="0" xfId="0" applyBorder="1" applyFont="1"/>
    <xf borderId="10" fillId="4" fontId="7" numFmtId="0" xfId="0" applyAlignment="1" applyBorder="1" applyFont="1">
      <alignment horizontal="center"/>
    </xf>
    <xf borderId="31" fillId="2" fontId="6" numFmtId="166" xfId="0" applyAlignment="1" applyBorder="1" applyFont="1" applyNumberFormat="1">
      <alignment horizontal="center"/>
    </xf>
    <xf borderId="10" fillId="2" fontId="6" numFmtId="166" xfId="0" applyAlignment="1" applyBorder="1" applyFont="1" applyNumberFormat="1">
      <alignment horizontal="center"/>
    </xf>
    <xf borderId="10" fillId="2" fontId="6" numFmtId="166" xfId="0" applyBorder="1" applyFont="1" applyNumberFormat="1"/>
    <xf borderId="10" fillId="0" fontId="6" numFmtId="166" xfId="0" applyBorder="1" applyFont="1" applyNumberFormat="1"/>
    <xf borderId="10" fillId="0" fontId="1" numFmtId="164" xfId="0" applyAlignment="1" applyBorder="1" applyFont="1" applyNumberFormat="1">
      <alignment horizontal="center"/>
    </xf>
    <xf borderId="31" fillId="2" fontId="6" numFmtId="164" xfId="0" applyAlignment="1" applyBorder="1" applyFont="1" applyNumberFormat="1">
      <alignment horizontal="center"/>
    </xf>
    <xf borderId="10" fillId="2" fontId="6" numFmtId="164" xfId="0" applyAlignment="1" applyBorder="1" applyFont="1" applyNumberFormat="1">
      <alignment horizontal="center"/>
    </xf>
    <xf borderId="10" fillId="2" fontId="6" numFmtId="165" xfId="0" applyBorder="1" applyFont="1" applyNumberFormat="1"/>
    <xf borderId="2" fillId="2" fontId="1" numFmtId="0" xfId="0" applyAlignment="1" applyBorder="1" applyFont="1">
      <alignment horizontal="center"/>
    </xf>
    <xf borderId="0" fillId="0" fontId="2" numFmtId="0" xfId="0" applyAlignment="1" applyFont="1">
      <alignment vertical="center"/>
    </xf>
    <xf borderId="0" fillId="0" fontId="8" numFmtId="0" xfId="0" applyFont="1"/>
    <xf borderId="0" fillId="0" fontId="5" numFmtId="0" xfId="0" applyFont="1"/>
    <xf borderId="11" fillId="0" fontId="1" numFmtId="0" xfId="0" applyAlignment="1" applyBorder="1" applyFont="1">
      <alignment horizontal="left" vertical="center"/>
    </xf>
    <xf borderId="11" fillId="0" fontId="1" numFmtId="0" xfId="0" applyAlignment="1" applyBorder="1" applyFont="1">
      <alignment shrinkToFit="0" wrapText="1"/>
    </xf>
    <xf borderId="11" fillId="0" fontId="9" numFmtId="0" xfId="0" applyAlignment="1" applyBorder="1" applyFont="1">
      <alignment horizontal="left" shrinkToFit="0" wrapText="1"/>
    </xf>
    <xf borderId="11" fillId="3" fontId="2" numFmtId="0" xfId="0" applyAlignment="1" applyBorder="1" applyFont="1">
      <alignment horizontal="center"/>
    </xf>
    <xf borderId="0" fillId="0" fontId="10" numFmtId="0" xfId="0" applyFont="1"/>
    <xf borderId="2" fillId="0" fontId="1" numFmtId="0" xfId="0" applyAlignment="1" applyBorder="1" applyFont="1">
      <alignment horizontal="left" vertical="center"/>
    </xf>
    <xf borderId="2" fillId="0" fontId="4" numFmtId="0" xfId="0" applyAlignment="1" applyBorder="1" applyFont="1">
      <alignment horizontal="left" shrinkToFit="0" vertical="center" wrapText="1"/>
    </xf>
    <xf borderId="10" fillId="3" fontId="10" numFmtId="0" xfId="0" applyAlignment="1" applyBorder="1" applyFont="1">
      <alignment horizontal="center" shrinkToFit="0" vertical="center" wrapText="1"/>
    </xf>
    <xf borderId="10" fillId="4" fontId="5" numFmtId="0" xfId="0" applyBorder="1" applyFont="1"/>
    <xf borderId="10" fillId="4" fontId="5" numFmtId="0" xfId="0" applyAlignment="1" applyBorder="1" applyFont="1">
      <alignment horizontal="center"/>
    </xf>
    <xf borderId="0" fillId="0" fontId="11" numFmtId="0" xfId="0" applyFont="1"/>
    <xf borderId="0" fillId="0" fontId="12" numFmtId="0" xfId="0" applyFont="1"/>
    <xf borderId="23" fillId="0" fontId="10" numFmtId="0" xfId="0" applyAlignment="1" applyBorder="1" applyFont="1">
      <alignment horizontal="left"/>
    </xf>
    <xf borderId="23" fillId="0" fontId="10" numFmtId="0" xfId="0" applyBorder="1" applyFont="1"/>
    <xf borderId="1" fillId="3" fontId="1" numFmtId="0" xfId="0" applyAlignment="1" applyBorder="1" applyFont="1">
      <alignment horizontal="center"/>
    </xf>
    <xf borderId="11" fillId="0" fontId="4" numFmtId="0" xfId="0" applyAlignment="1" applyBorder="1" applyFont="1">
      <alignment horizontal="left" shrinkToFit="0" wrapText="1"/>
    </xf>
    <xf borderId="10" fillId="0" fontId="1" numFmtId="0" xfId="0" applyAlignment="1" applyBorder="1" applyFont="1">
      <alignment horizontal="left"/>
    </xf>
    <xf borderId="10" fillId="5" fontId="10" numFmtId="0" xfId="0" applyAlignment="1" applyBorder="1" applyFill="1" applyFont="1">
      <alignment horizontal="right"/>
    </xf>
    <xf borderId="10" fillId="0" fontId="13" numFmtId="0" xfId="0" applyBorder="1" applyFont="1"/>
    <xf borderId="10" fillId="6" fontId="10" numFmtId="0" xfId="0" applyBorder="1" applyFill="1" applyFont="1"/>
    <xf borderId="10" fillId="0" fontId="5" numFmtId="0" xfId="0" applyBorder="1" applyFont="1"/>
    <xf borderId="10" fillId="5" fontId="10" numFmtId="0" xfId="0" applyAlignment="1" applyBorder="1" applyFont="1">
      <alignment horizontal="center"/>
    </xf>
    <xf borderId="10" fillId="5" fontId="10" numFmtId="0" xfId="0" applyAlignment="1" applyBorder="1" applyFont="1">
      <alignment horizontal="center" vertical="center"/>
    </xf>
    <xf borderId="10" fillId="2" fontId="5" numFmtId="167" xfId="0" applyAlignment="1" applyBorder="1" applyFont="1" applyNumberFormat="1">
      <alignment horizontal="center"/>
    </xf>
    <xf borderId="10" fillId="3" fontId="5" numFmtId="0" xfId="0" applyAlignment="1" applyBorder="1" applyFont="1">
      <alignment horizontal="center"/>
    </xf>
    <xf borderId="10" fillId="2" fontId="5" numFmtId="0" xfId="0" applyAlignment="1" applyBorder="1" applyFont="1">
      <alignment horizontal="center"/>
    </xf>
    <xf borderId="10" fillId="7" fontId="5" numFmtId="168" xfId="0" applyAlignment="1" applyBorder="1" applyFill="1" applyFont="1" applyNumberFormat="1">
      <alignment horizontal="center"/>
    </xf>
    <xf borderId="13" fillId="0" fontId="10" numFmtId="0" xfId="0" applyBorder="1" applyFont="1"/>
    <xf borderId="14" fillId="2" fontId="5" numFmtId="167" xfId="0" applyAlignment="1" applyBorder="1" applyFont="1" applyNumberFormat="1">
      <alignment horizontal="center"/>
    </xf>
    <xf borderId="0" fillId="0" fontId="2" numFmtId="0" xfId="0" applyAlignment="1" applyFont="1">
      <alignment horizontal="left"/>
    </xf>
    <xf borderId="32" fillId="2" fontId="1" numFmtId="0" xfId="0" applyAlignment="1" applyBorder="1" applyFont="1">
      <alignment horizontal="left"/>
    </xf>
    <xf borderId="33" fillId="0" fontId="3" numFmtId="0" xfId="0" applyBorder="1" applyFont="1"/>
    <xf borderId="34" fillId="0" fontId="3" numFmtId="0" xfId="0" applyBorder="1" applyFont="1"/>
    <xf borderId="13" fillId="0" fontId="1" numFmtId="0" xfId="0" applyBorder="1" applyFont="1"/>
    <xf borderId="11" fillId="0" fontId="7" numFmtId="0" xfId="0" applyAlignment="1" applyBorder="1" applyFont="1">
      <alignment horizontal="left"/>
    </xf>
    <xf borderId="10" fillId="0" fontId="4" numFmtId="0" xfId="0" applyAlignment="1" applyBorder="1" applyFont="1">
      <alignment horizontal="left"/>
    </xf>
    <xf borderId="0" fillId="0" fontId="10" numFmtId="0" xfId="0" applyAlignment="1" applyFont="1">
      <alignment horizontal="center" vertical="center"/>
    </xf>
    <xf borderId="12" fillId="0" fontId="1" numFmtId="0" xfId="0" applyAlignment="1" applyBorder="1" applyFont="1">
      <alignment horizontal="left"/>
    </xf>
    <xf borderId="10" fillId="4" fontId="2" numFmtId="0" xfId="0" applyAlignment="1" applyBorder="1" applyFont="1">
      <alignment horizontal="center" vertical="center"/>
    </xf>
    <xf borderId="10" fillId="0" fontId="1" numFmtId="169" xfId="0" applyAlignment="1" applyBorder="1" applyFont="1" applyNumberFormat="1">
      <alignment horizontal="center"/>
    </xf>
    <xf borderId="10" fillId="0" fontId="4" numFmtId="169" xfId="0" applyAlignment="1" applyBorder="1" applyFont="1" applyNumberFormat="1">
      <alignment horizontal="center"/>
    </xf>
    <xf borderId="5" fillId="0" fontId="8" numFmtId="0" xfId="0" applyAlignment="1" applyBorder="1" applyFont="1">
      <alignment horizontal="left"/>
    </xf>
    <xf borderId="0" fillId="0" fontId="1" numFmtId="169" xfId="0" applyAlignment="1" applyFont="1" applyNumberFormat="1">
      <alignment horizontal="center"/>
    </xf>
    <xf borderId="0" fillId="0" fontId="8" numFmtId="0" xfId="0" applyAlignment="1" applyFont="1">
      <alignment horizontal="left"/>
    </xf>
    <xf borderId="0" fillId="0" fontId="5" numFmtId="0" xfId="0" applyAlignment="1" applyFont="1">
      <alignment horizontal="left"/>
    </xf>
    <xf borderId="14" fillId="2" fontId="1" numFmtId="0" xfId="0" applyAlignment="1" applyBorder="1" applyFont="1">
      <alignment horizontal="center"/>
    </xf>
    <xf borderId="19" fillId="4" fontId="1" numFmtId="0" xfId="0" applyAlignment="1" applyBorder="1" applyFont="1">
      <alignment horizontal="center"/>
    </xf>
    <xf borderId="23" fillId="0" fontId="2" numFmtId="0" xfId="0" applyAlignment="1" applyBorder="1" applyFont="1">
      <alignment horizontal="left"/>
    </xf>
    <xf borderId="2" fillId="3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6" numFmtId="0" xfId="0" applyAlignment="1" applyFont="1">
      <alignment horizontal="left"/>
    </xf>
    <xf borderId="10" fillId="4" fontId="2" numFmtId="0" xfId="0" applyAlignment="1" applyBorder="1" applyFont="1">
      <alignment horizontal="center" shrinkToFit="0" vertical="center" wrapText="1"/>
    </xf>
    <xf borderId="10" fillId="0" fontId="1" numFmtId="167" xfId="0" applyAlignment="1" applyBorder="1" applyFont="1" applyNumberFormat="1">
      <alignment horizontal="center"/>
    </xf>
    <xf borderId="10" fillId="0" fontId="4" numFmtId="1" xfId="0" applyAlignment="1" applyBorder="1" applyFont="1" applyNumberFormat="1">
      <alignment horizontal="center"/>
    </xf>
    <xf borderId="10" fillId="2" fontId="4" numFmtId="0" xfId="0" applyAlignment="1" applyBorder="1" applyFont="1">
      <alignment horizontal="center"/>
    </xf>
    <xf borderId="2" fillId="4" fontId="2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/>
    </xf>
    <xf borderId="0" fillId="0" fontId="14" numFmtId="0" xfId="0" applyFont="1"/>
    <xf borderId="0" fillId="0" fontId="2" numFmtId="0" xfId="0" applyAlignment="1" applyFont="1">
      <alignment vertical="top"/>
    </xf>
    <xf borderId="0" fillId="0" fontId="14" numFmtId="0" xfId="0" applyAlignment="1" applyFont="1">
      <alignment vertical="top"/>
    </xf>
    <xf borderId="0" fillId="0" fontId="14" numFmtId="0" xfId="0" applyAlignment="1" applyFont="1">
      <alignment horizontal="left"/>
    </xf>
    <xf borderId="10" fillId="0" fontId="14" numFmtId="0" xfId="0" applyBorder="1" applyFont="1"/>
    <xf borderId="0" fillId="0" fontId="15" numFmtId="0" xfId="0" applyAlignment="1" applyFont="1">
      <alignment horizontal="center"/>
    </xf>
    <xf borderId="21" fillId="0" fontId="1" numFmtId="0" xfId="0" applyBorder="1" applyFont="1"/>
    <xf borderId="27" fillId="2" fontId="1" numFmtId="0" xfId="0" applyBorder="1" applyFont="1"/>
    <xf borderId="29" fillId="2" fontId="2" numFmtId="0" xfId="0" applyAlignment="1" applyBorder="1" applyFont="1">
      <alignment horizontal="left" vertical="top"/>
    </xf>
    <xf borderId="14" fillId="2" fontId="14" numFmtId="0" xfId="0" applyBorder="1" applyFont="1"/>
    <xf borderId="14" fillId="2" fontId="5" numFmtId="0" xfId="0" applyBorder="1" applyFont="1"/>
    <xf borderId="0" fillId="0" fontId="16" numFmtId="0" xfId="0" applyAlignment="1" applyFont="1">
      <alignment horizontal="center" vertical="center"/>
    </xf>
    <xf borderId="0" fillId="0" fontId="17" numFmtId="0" xfId="0" applyAlignment="1" applyFont="1">
      <alignment vertical="center"/>
    </xf>
    <xf borderId="1" fillId="4" fontId="2" numFmtId="0" xfId="0" applyAlignment="1" applyBorder="1" applyFont="1">
      <alignment horizontal="center" shrinkToFit="0" vertical="center" wrapText="1"/>
    </xf>
    <xf borderId="21" fillId="0" fontId="1" numFmtId="2" xfId="0" applyAlignment="1" applyBorder="1" applyFont="1" applyNumberFormat="1">
      <alignment horizontal="center"/>
    </xf>
    <xf borderId="27" fillId="2" fontId="1" numFmtId="0" xfId="0" applyAlignment="1" applyBorder="1" applyFont="1">
      <alignment horizontal="center"/>
    </xf>
    <xf borderId="0" fillId="0" fontId="18" numFmtId="0" xfId="0" applyFont="1"/>
    <xf borderId="8" fillId="0" fontId="1" numFmtId="0" xfId="0" applyAlignment="1" applyBorder="1" applyFont="1">
      <alignment horizontal="left"/>
    </xf>
    <xf borderId="10" fillId="0" fontId="1" numFmtId="1" xfId="0" applyAlignment="1" applyBorder="1" applyFont="1" applyNumberFormat="1">
      <alignment horizontal="center"/>
    </xf>
    <xf borderId="10" fillId="4" fontId="2" numFmtId="0" xfId="0" applyAlignment="1" applyBorder="1" applyFont="1">
      <alignment horizontal="center" shrinkToFit="0" wrapText="1"/>
    </xf>
    <xf borderId="27" fillId="2" fontId="1" numFmtId="2" xfId="0" applyAlignment="1" applyBorder="1" applyFont="1" applyNumberFormat="1">
      <alignment horizontal="center"/>
    </xf>
    <xf borderId="15" fillId="2" fontId="2" numFmtId="0" xfId="0" applyAlignment="1" applyBorder="1" applyFont="1">
      <alignment horizontal="left"/>
    </xf>
    <xf borderId="11" fillId="0" fontId="19" numFmtId="0" xfId="0" applyAlignment="1" applyBorder="1" applyFont="1">
      <alignment horizontal="left"/>
    </xf>
    <xf borderId="10" fillId="0" fontId="2" numFmtId="0" xfId="0" applyAlignment="1" applyBorder="1" applyFont="1">
      <alignment horizontal="left" shrinkToFit="0" vertical="center" wrapText="1"/>
    </xf>
    <xf borderId="11" fillId="0" fontId="1" numFmtId="2" xfId="0" applyAlignment="1" applyBorder="1" applyFont="1" applyNumberFormat="1">
      <alignment horizontal="left" vertical="center"/>
    </xf>
    <xf borderId="10" fillId="0" fontId="2" numFmtId="0" xfId="0" applyAlignment="1" applyBorder="1" applyFont="1">
      <alignment horizontal="left" vertical="center"/>
    </xf>
    <xf borderId="11" fillId="0" fontId="4" numFmtId="14" xfId="0" applyAlignment="1" applyBorder="1" applyFont="1" applyNumberFormat="1">
      <alignment horizontal="left"/>
    </xf>
    <xf borderId="0" fillId="0" fontId="5" numFmtId="14" xfId="0" applyAlignment="1" applyFont="1" applyNumberFormat="1">
      <alignment horizontal="center"/>
    </xf>
    <xf borderId="0" fillId="0" fontId="19" numFmtId="169" xfId="0" applyAlignment="1" applyFont="1" applyNumberFormat="1">
      <alignment horizontal="center"/>
    </xf>
    <xf borderId="14" fillId="2" fontId="2" numFmtId="0" xfId="0" applyAlignment="1" applyBorder="1" applyFont="1">
      <alignment horizontal="center"/>
    </xf>
    <xf borderId="28" fillId="2" fontId="2" numFmtId="0" xfId="0" applyAlignment="1" applyBorder="1" applyFont="1">
      <alignment horizontal="left"/>
    </xf>
    <xf borderId="17" fillId="2" fontId="1" numFmtId="0" xfId="0" applyBorder="1" applyFont="1"/>
    <xf borderId="35" fillId="2" fontId="1" numFmtId="0" xfId="0" applyBorder="1" applyFont="1"/>
    <xf borderId="36" fillId="0" fontId="3" numFmtId="0" xfId="0" applyBorder="1" applyFont="1"/>
    <xf borderId="37" fillId="0" fontId="3" numFmtId="0" xfId="0" applyBorder="1" applyFont="1"/>
    <xf borderId="38" fillId="0" fontId="3" numFmtId="0" xfId="0" applyBorder="1" applyFont="1"/>
    <xf borderId="2" fillId="0" fontId="1" numFmtId="0" xfId="0" applyBorder="1" applyFont="1"/>
    <xf borderId="1" fillId="0" fontId="1" numFmtId="0" xfId="0" applyAlignment="1" applyBorder="1" applyFont="1">
      <alignment horizontal="left" vertical="center"/>
    </xf>
    <xf borderId="2" fillId="0" fontId="1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vertical="center"/>
    </xf>
    <xf borderId="11" fillId="4" fontId="10" numFmtId="0" xfId="0" applyAlignment="1" applyBorder="1" applyFont="1">
      <alignment horizontal="center" vertical="center"/>
    </xf>
    <xf borderId="39" fillId="0" fontId="3" numFmtId="0" xfId="0" applyBorder="1" applyFont="1"/>
    <xf borderId="40" fillId="4" fontId="5" numFmtId="0" xfId="0" applyBorder="1" applyFont="1"/>
    <xf borderId="10" fillId="4" fontId="10" numFmtId="0" xfId="0" applyAlignment="1" applyBorder="1" applyFont="1">
      <alignment horizontal="center" shrinkToFit="0" vertical="center" wrapText="1"/>
    </xf>
    <xf borderId="10" fillId="4" fontId="10" numFmtId="0" xfId="0" applyAlignment="1" applyBorder="1" applyFont="1">
      <alignment horizontal="center" vertical="center"/>
    </xf>
    <xf borderId="10" fillId="2" fontId="10" numFmtId="0" xfId="0" applyAlignment="1" applyBorder="1" applyFont="1">
      <alignment horizontal="center"/>
    </xf>
    <xf borderId="10" fillId="4" fontId="20" numFmtId="0" xfId="0" applyBorder="1" applyFont="1"/>
    <xf borderId="10" fillId="4" fontId="10" numFmtId="0" xfId="0" applyBorder="1" applyFont="1"/>
    <xf borderId="10" fillId="2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/>
    </xf>
    <xf borderId="21" fillId="0" fontId="1" numFmtId="0" xfId="0" applyAlignment="1" applyBorder="1" applyFont="1">
      <alignment horizontal="center"/>
    </xf>
    <xf borderId="14" fillId="2" fontId="5" numFmtId="0" xfId="0" applyAlignment="1" applyBorder="1" applyFont="1">
      <alignment horizontal="center"/>
    </xf>
    <xf borderId="29" fillId="2" fontId="2" numFmtId="0" xfId="0" applyAlignment="1" applyBorder="1" applyFont="1">
      <alignment horizontal="left"/>
    </xf>
    <xf borderId="14" fillId="2" fontId="2" numFmtId="0" xfId="0" applyAlignment="1" applyBorder="1" applyFont="1">
      <alignment vertical="center"/>
    </xf>
    <xf borderId="13" fillId="0" fontId="5" numFmtId="0" xfId="0" applyBorder="1" applyFont="1"/>
  </cellXfs>
  <cellStyles count="1">
    <cellStyle xfId="0" name="Normal" builtinId="0"/>
  </cellStyles>
  <dxfs count="1">
    <dxf>
      <font>
        <color theme="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Relationship Id="rId2" Type="http://schemas.openxmlformats.org/officeDocument/2006/relationships/image" Target="../media/image7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1</xdr:row>
      <xdr:rowOff>28575</xdr:rowOff>
    </xdr:from>
    <xdr:ext cx="2257425" cy="495300"/>
    <xdr:pic>
      <xdr:nvPicPr>
        <xdr:cNvPr descr="C:\Users\tada-ar\AppData\Local\Microsoft\Windows\Temporary Internet Files\Content.Word\logo_tuv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38100</xdr:colOff>
      <xdr:row>2</xdr:row>
      <xdr:rowOff>57150</xdr:rowOff>
    </xdr:from>
    <xdr:ext cx="2295525" cy="514350"/>
    <xdr:pic>
      <xdr:nvPicPr>
        <xdr:cNvPr descr="C:\Users\tada-ar\AppData\Local\Microsoft\Windows\Temporary Internet Files\Content.Word\logo_tuv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47625</xdr:colOff>
      <xdr:row>1</xdr:row>
      <xdr:rowOff>19050</xdr:rowOff>
    </xdr:from>
    <xdr:ext cx="2209800" cy="561975"/>
    <xdr:pic>
      <xdr:nvPicPr>
        <xdr:cNvPr descr="C:\Users\tada-ar\AppData\Local\Microsoft\Windows\Temporary Internet Files\Content.Word\logo_tuv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638175</xdr:colOff>
      <xdr:row>1</xdr:row>
      <xdr:rowOff>85725</xdr:rowOff>
    </xdr:from>
    <xdr:ext cx="1809750" cy="381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295275</xdr:colOff>
      <xdr:row>1</xdr:row>
      <xdr:rowOff>85725</xdr:rowOff>
    </xdr:from>
    <xdr:ext cx="1914525" cy="381000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133350</xdr:colOff>
      <xdr:row>1</xdr:row>
      <xdr:rowOff>38100</xdr:rowOff>
    </xdr:from>
    <xdr:ext cx="1847850" cy="476250"/>
    <xdr:pic>
      <xdr:nvPicPr>
        <xdr:cNvPr descr="C:\Users\tada-ar\AppData\Local\Microsoft\Windows\Temporary Internet Files\Content.Word\logo_tuv.jpg" id="0" name="image4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85725</xdr:colOff>
      <xdr:row>1</xdr:row>
      <xdr:rowOff>76200</xdr:rowOff>
    </xdr:from>
    <xdr:ext cx="2000250" cy="533400"/>
    <xdr:pic>
      <xdr:nvPicPr>
        <xdr:cNvPr descr="C:\Users\tada-ar\AppData\Local\Microsoft\Windows\Temporary Internet Files\Content.Word\logo_tuv.jpg" id="0" name="image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</xdr:row>
      <xdr:rowOff>19050</xdr:rowOff>
    </xdr:from>
    <xdr:ext cx="2028825" cy="514350"/>
    <xdr:pic>
      <xdr:nvPicPr>
        <xdr:cNvPr descr="C:\Users\tada-ar\AppData\Local\Microsoft\Windows\Temporary Internet Files\Content.Word\logo_tuv.jpg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1</xdr:row>
      <xdr:rowOff>9525</xdr:rowOff>
    </xdr:from>
    <xdr:ext cx="2114550" cy="514350"/>
    <xdr:pic>
      <xdr:nvPicPr>
        <xdr:cNvPr descr="C:\Users\tada-ar\AppData\Local\Microsoft\Windows\Temporary Internet Files\Content.Word\logo_tuv.jpg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1</xdr:row>
      <xdr:rowOff>47625</xdr:rowOff>
    </xdr:from>
    <xdr:ext cx="2286000" cy="590550"/>
    <xdr:pic>
      <xdr:nvPicPr>
        <xdr:cNvPr descr="C:\Users\tada-ar\AppData\Local\Microsoft\Windows\Temporary Internet Files\Content.Word\logo_tuv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123825</xdr:colOff>
      <xdr:row>1</xdr:row>
      <xdr:rowOff>47625</xdr:rowOff>
    </xdr:from>
    <xdr:ext cx="2305050" cy="533400"/>
    <xdr:pic>
      <xdr:nvPicPr>
        <xdr:cNvPr descr="C:\Users\tada-ar\AppData\Local\Microsoft\Windows\Temporary Internet Files\Content.Word\logo_tuv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</xdr:colOff>
      <xdr:row>1</xdr:row>
      <xdr:rowOff>47625</xdr:rowOff>
    </xdr:from>
    <xdr:ext cx="2266950" cy="485775"/>
    <xdr:pic>
      <xdr:nvPicPr>
        <xdr:cNvPr descr="C:\Users\tada-ar\AppData\Local\Microsoft\Windows\Temporary Internet Files\Content.Word\logo_tuv.jpg"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1</xdr:row>
      <xdr:rowOff>123825</xdr:rowOff>
    </xdr:from>
    <xdr:ext cx="1571625" cy="628650"/>
    <xdr:pic>
      <xdr:nvPicPr>
        <xdr:cNvPr descr="C:\Users\tada-ar\AppData\Local\Microsoft\Windows\Temporary Internet Files\Content.Word\logo_tuv.jpg"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38100</xdr:colOff>
      <xdr:row>56</xdr:row>
      <xdr:rowOff>123825</xdr:rowOff>
    </xdr:from>
    <xdr:ext cx="1781175" cy="504825"/>
    <xdr:pic>
      <xdr:nvPicPr>
        <xdr:cNvPr descr="C:\Users\tada-ar\AppData\Local\Microsoft\Windows\Temporary Internet Files\Content.Word\logo_tuv.jpg" id="0" name="image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32.43"/>
    <col customWidth="1" min="3" max="3" width="32.29"/>
    <col customWidth="1" min="4" max="4" width="39.29"/>
    <col customWidth="1" min="5" max="26" width="9.14"/>
  </cols>
  <sheetData>
    <row r="1" ht="14.25" customHeight="1"/>
    <row r="2" ht="14.25" customHeight="1">
      <c r="A2" s="1"/>
      <c r="B2" s="2"/>
      <c r="C2" s="3" t="s">
        <v>0</v>
      </c>
      <c r="D2" s="4"/>
      <c r="E2" s="1"/>
      <c r="F2" s="1"/>
      <c r="G2" s="1"/>
    </row>
    <row r="3" ht="14.25" customHeight="1">
      <c r="A3" s="1"/>
      <c r="B3" s="5"/>
      <c r="C3" s="6"/>
      <c r="D3" s="7"/>
      <c r="E3" s="1"/>
      <c r="F3" s="1"/>
      <c r="G3" s="1"/>
    </row>
    <row r="4" ht="14.25" customHeight="1">
      <c r="A4" s="1"/>
      <c r="B4" s="8"/>
      <c r="C4" s="9"/>
      <c r="D4" s="10"/>
      <c r="E4" s="1"/>
      <c r="F4" s="1"/>
      <c r="G4" s="1"/>
    </row>
    <row r="5" ht="14.25" customHeight="1">
      <c r="A5" s="1"/>
      <c r="B5" s="11" t="s">
        <v>1</v>
      </c>
      <c r="C5" s="12"/>
      <c r="D5" s="13"/>
      <c r="E5" s="1"/>
      <c r="F5" s="1"/>
      <c r="G5" s="1"/>
    </row>
    <row r="6" ht="14.25" customHeight="1">
      <c r="A6" s="1"/>
      <c r="B6" s="11" t="s">
        <v>2</v>
      </c>
      <c r="C6" s="14"/>
      <c r="D6" s="13"/>
      <c r="E6" s="1"/>
      <c r="F6" s="1"/>
      <c r="G6" s="1"/>
    </row>
    <row r="7" ht="14.25" customHeight="1">
      <c r="A7" s="1"/>
      <c r="B7" s="11" t="s">
        <v>3</v>
      </c>
      <c r="C7" s="14" t="s">
        <v>4</v>
      </c>
      <c r="D7" s="13"/>
      <c r="E7" s="1"/>
      <c r="F7" s="1"/>
      <c r="G7" s="1"/>
    </row>
    <row r="8" ht="14.25" customHeight="1">
      <c r="A8" s="1"/>
      <c r="B8" s="11" t="s">
        <v>5</v>
      </c>
      <c r="C8" s="14"/>
      <c r="D8" s="13"/>
      <c r="E8" s="1"/>
      <c r="F8" s="1"/>
      <c r="G8" s="1"/>
    </row>
    <row r="9" ht="14.25" customHeight="1">
      <c r="A9" s="1"/>
      <c r="B9" s="11" t="s">
        <v>6</v>
      </c>
      <c r="C9" s="14" t="s">
        <v>7</v>
      </c>
      <c r="D9" s="13"/>
      <c r="E9" s="1"/>
      <c r="F9" s="1"/>
      <c r="G9" s="1"/>
    </row>
    <row r="10" ht="17.25" customHeight="1">
      <c r="A10" s="1"/>
      <c r="B10" s="15" t="s">
        <v>8</v>
      </c>
      <c r="C10" s="16"/>
      <c r="D10" s="13"/>
      <c r="E10" s="1"/>
      <c r="F10" s="1"/>
      <c r="G10" s="1"/>
    </row>
    <row r="11" ht="14.25" customHeight="1">
      <c r="A11" s="1"/>
      <c r="B11" s="11" t="s">
        <v>9</v>
      </c>
      <c r="C11" s="14"/>
      <c r="D11" s="13"/>
      <c r="E11" s="1"/>
      <c r="F11" s="1"/>
      <c r="G11" s="1"/>
    </row>
    <row r="12" ht="14.25" customHeight="1">
      <c r="A12" s="1"/>
      <c r="B12" s="17" t="s">
        <v>10</v>
      </c>
      <c r="C12" s="18"/>
      <c r="D12" s="13"/>
      <c r="E12" s="1"/>
      <c r="F12" s="1"/>
      <c r="G12" s="1"/>
    </row>
    <row r="13" ht="14.25" customHeight="1">
      <c r="A13" s="1"/>
      <c r="B13" s="11" t="s">
        <v>11</v>
      </c>
      <c r="C13" s="19" t="s">
        <v>12</v>
      </c>
      <c r="D13" s="13"/>
      <c r="E13" s="1"/>
      <c r="F13" s="1"/>
      <c r="G13" s="1"/>
    </row>
    <row r="14" ht="14.25" customHeight="1">
      <c r="A14" s="1"/>
      <c r="B14" s="11" t="s">
        <v>13</v>
      </c>
      <c r="C14" s="20"/>
      <c r="D14" s="13"/>
      <c r="E14" s="1"/>
      <c r="F14" s="1"/>
      <c r="G14" s="1"/>
    </row>
    <row r="15" ht="14.25" customHeight="1">
      <c r="A15" s="1"/>
      <c r="B15" s="11" t="s">
        <v>14</v>
      </c>
      <c r="C15" s="21" t="s">
        <v>15</v>
      </c>
      <c r="D15" s="11" t="s">
        <v>16</v>
      </c>
      <c r="E15" s="1"/>
      <c r="F15" s="1"/>
      <c r="G15" s="1"/>
    </row>
    <row r="16" ht="14.25" customHeight="1">
      <c r="A16" s="1"/>
      <c r="B16" s="1"/>
      <c r="C16" s="1"/>
      <c r="D16" s="1"/>
      <c r="E16" s="1"/>
      <c r="F16" s="1"/>
      <c r="G16" s="1"/>
    </row>
    <row r="17" ht="14.25" customHeight="1">
      <c r="A17" s="1"/>
      <c r="B17" s="22"/>
      <c r="C17" s="22"/>
      <c r="D17" s="1"/>
      <c r="E17" s="1"/>
      <c r="F17" s="1"/>
      <c r="G17" s="1"/>
    </row>
    <row r="18" ht="16.5" customHeight="1">
      <c r="A18" s="1"/>
      <c r="B18" s="23" t="s">
        <v>17</v>
      </c>
      <c r="C18" s="23" t="s">
        <v>18</v>
      </c>
      <c r="D18" s="1" t="s">
        <v>19</v>
      </c>
      <c r="E18" s="1"/>
      <c r="F18" s="1"/>
      <c r="G18" s="1"/>
    </row>
    <row r="19" ht="14.25" customHeight="1">
      <c r="A19" s="24">
        <v>1.0</v>
      </c>
      <c r="B19" s="11"/>
      <c r="C19" s="25"/>
      <c r="D19" s="1"/>
      <c r="E19" s="1"/>
      <c r="F19" s="1"/>
      <c r="G19" s="1"/>
    </row>
    <row r="20" ht="14.25" customHeight="1">
      <c r="A20" s="24">
        <v>2.0</v>
      </c>
      <c r="B20" s="11"/>
      <c r="C20" s="25"/>
      <c r="D20" s="1"/>
      <c r="E20" s="1"/>
      <c r="F20" s="1"/>
      <c r="G20" s="1"/>
    </row>
    <row r="21" ht="14.25" customHeight="1">
      <c r="A21" s="24">
        <v>3.0</v>
      </c>
      <c r="B21" s="15"/>
      <c r="C21" s="25"/>
      <c r="D21" s="1"/>
      <c r="E21" s="1"/>
      <c r="F21" s="1"/>
      <c r="G21" s="1"/>
    </row>
    <row r="22" ht="14.25" customHeight="1">
      <c r="A22" s="24">
        <v>4.0</v>
      </c>
      <c r="B22" s="11"/>
      <c r="C22" s="25"/>
      <c r="D22" s="1"/>
      <c r="E22" s="1"/>
      <c r="F22" s="1"/>
      <c r="G22" s="1"/>
    </row>
    <row r="23" ht="14.25" customHeight="1">
      <c r="A23" s="24">
        <v>5.0</v>
      </c>
      <c r="B23" s="11"/>
      <c r="C23" s="25"/>
      <c r="D23" s="1"/>
      <c r="E23" s="1"/>
      <c r="F23" s="1"/>
      <c r="G23" s="1"/>
    </row>
    <row r="24" ht="14.25" customHeight="1">
      <c r="A24" s="24">
        <v>6.0</v>
      </c>
      <c r="B24" s="11"/>
      <c r="C24" s="25"/>
      <c r="D24" s="1"/>
      <c r="E24" s="1"/>
      <c r="F24" s="1"/>
      <c r="G24" s="1"/>
    </row>
    <row r="25" ht="14.25" customHeight="1">
      <c r="A25" s="24">
        <v>7.0</v>
      </c>
      <c r="B25" s="11"/>
      <c r="C25" s="25"/>
      <c r="D25" s="1"/>
      <c r="E25" s="1"/>
      <c r="F25" s="1"/>
      <c r="G25" s="1"/>
    </row>
    <row r="26" ht="14.25" customHeight="1">
      <c r="A26" s="24">
        <v>8.0</v>
      </c>
      <c r="B26" s="11"/>
      <c r="C26" s="25"/>
      <c r="D26" s="1"/>
      <c r="E26" s="1"/>
      <c r="F26" s="1"/>
      <c r="G26" s="1"/>
    </row>
    <row r="27" ht="14.25" customHeight="1">
      <c r="A27" s="24">
        <v>9.0</v>
      </c>
      <c r="B27" s="11"/>
      <c r="C27" s="25"/>
      <c r="D27" s="1"/>
      <c r="E27" s="1"/>
      <c r="F27" s="1"/>
      <c r="G27" s="1"/>
    </row>
    <row r="28" ht="14.25" customHeight="1">
      <c r="A28" s="24">
        <v>10.0</v>
      </c>
      <c r="B28" s="11"/>
      <c r="C28" s="25"/>
      <c r="D28" s="1"/>
      <c r="E28" s="1"/>
      <c r="F28" s="1"/>
      <c r="G28" s="1"/>
    </row>
    <row r="29" ht="14.25" customHeight="1">
      <c r="A29" s="24">
        <v>11.0</v>
      </c>
      <c r="B29" s="11"/>
      <c r="C29" s="25"/>
      <c r="D29" s="1"/>
      <c r="E29" s="1"/>
      <c r="F29" s="1"/>
      <c r="G29" s="1"/>
    </row>
    <row r="30" ht="14.25" customHeight="1">
      <c r="A30" s="24">
        <v>12.0</v>
      </c>
      <c r="B30" s="11"/>
      <c r="C30" s="25"/>
      <c r="D30" s="1"/>
      <c r="E30" s="1"/>
      <c r="F30" s="1"/>
      <c r="G30" s="1"/>
    </row>
    <row r="31" ht="14.25" customHeight="1">
      <c r="A31" s="24">
        <v>13.0</v>
      </c>
      <c r="B31" s="11"/>
      <c r="C31" s="25"/>
      <c r="D31" s="1"/>
      <c r="E31" s="1"/>
      <c r="F31" s="1"/>
      <c r="G31" s="1"/>
    </row>
    <row r="32" ht="14.25" customHeight="1">
      <c r="A32" s="24">
        <v>14.0</v>
      </c>
      <c r="B32" s="11"/>
      <c r="C32" s="25"/>
      <c r="D32" s="1"/>
      <c r="E32" s="1"/>
      <c r="F32" s="1"/>
      <c r="G32" s="1"/>
    </row>
    <row r="33" ht="14.25" customHeight="1">
      <c r="A33" s="24">
        <v>15.0</v>
      </c>
      <c r="B33" s="11"/>
      <c r="C33" s="25"/>
      <c r="D33" s="1"/>
      <c r="E33" s="1"/>
      <c r="F33" s="1"/>
      <c r="G33" s="1"/>
    </row>
    <row r="34" ht="14.25" customHeight="1">
      <c r="A34" s="24">
        <v>16.0</v>
      </c>
      <c r="B34" s="11"/>
      <c r="C34" s="25"/>
      <c r="D34" s="1"/>
      <c r="E34" s="1"/>
      <c r="F34" s="1"/>
      <c r="G34" s="1"/>
    </row>
    <row r="35" ht="14.25" customHeight="1">
      <c r="A35" s="24">
        <v>17.0</v>
      </c>
      <c r="B35" s="11"/>
      <c r="C35" s="25"/>
      <c r="D35" s="1"/>
      <c r="E35" s="1"/>
      <c r="F35" s="1"/>
      <c r="G35" s="1"/>
    </row>
    <row r="36" ht="14.25" customHeight="1">
      <c r="A36" s="24">
        <v>18.0</v>
      </c>
      <c r="B36" s="11"/>
      <c r="C36" s="25"/>
      <c r="D36" s="1"/>
      <c r="E36" s="1"/>
      <c r="F36" s="1"/>
      <c r="G36" s="1"/>
    </row>
    <row r="37" ht="14.25" customHeight="1">
      <c r="A37" s="24">
        <v>19.0</v>
      </c>
      <c r="B37" s="11"/>
      <c r="C37" s="25"/>
      <c r="D37" s="1"/>
      <c r="E37" s="1"/>
      <c r="F37" s="1"/>
      <c r="G37" s="1"/>
    </row>
    <row r="38" ht="14.25" customHeight="1">
      <c r="A38" s="24">
        <v>20.0</v>
      </c>
      <c r="B38" s="11"/>
      <c r="C38" s="25"/>
      <c r="D38" s="1"/>
      <c r="E38" s="1"/>
      <c r="F38" s="1"/>
      <c r="G38" s="1"/>
    </row>
    <row r="39" ht="14.25" customHeight="1">
      <c r="A39" s="24">
        <v>21.0</v>
      </c>
      <c r="B39" s="26"/>
      <c r="C39" s="27"/>
      <c r="D39" s="1"/>
      <c r="E39" s="1"/>
      <c r="F39" s="1"/>
      <c r="G39" s="1"/>
    </row>
    <row r="40" ht="14.25" customHeight="1">
      <c r="A40" s="24">
        <v>22.0</v>
      </c>
      <c r="B40" s="26"/>
      <c r="C40" s="25"/>
      <c r="D40" s="1"/>
      <c r="E40" s="1"/>
      <c r="F40" s="1"/>
      <c r="G40" s="1"/>
    </row>
    <row r="41" ht="14.25" customHeight="1">
      <c r="A41" s="24">
        <v>23.0</v>
      </c>
      <c r="B41" s="26"/>
      <c r="C41" s="25"/>
      <c r="D41" s="1"/>
      <c r="E41" s="1"/>
      <c r="F41" s="1"/>
      <c r="G41" s="1"/>
    </row>
    <row r="42" ht="14.25" customHeight="1">
      <c r="A42" s="24">
        <v>24.0</v>
      </c>
      <c r="B42" s="26"/>
      <c r="C42" s="25"/>
      <c r="D42" s="1"/>
      <c r="E42" s="1"/>
      <c r="F42" s="1"/>
      <c r="G42" s="1"/>
    </row>
    <row r="43" ht="14.25" customHeight="1">
      <c r="A43" s="24">
        <v>25.0</v>
      </c>
      <c r="B43" s="26"/>
      <c r="C43" s="25"/>
      <c r="D43" s="1"/>
      <c r="E43" s="1"/>
      <c r="F43" s="1"/>
      <c r="G43" s="1"/>
    </row>
    <row r="44" ht="14.25" customHeight="1">
      <c r="A44" s="24">
        <v>26.0</v>
      </c>
      <c r="B44" s="26"/>
      <c r="C44" s="25"/>
      <c r="D44" s="1"/>
      <c r="E44" s="1"/>
      <c r="F44" s="1"/>
      <c r="G44" s="1"/>
    </row>
    <row r="45" ht="14.25" customHeight="1">
      <c r="A45" s="24">
        <v>27.0</v>
      </c>
      <c r="B45" s="26"/>
      <c r="C45" s="25"/>
      <c r="D45" s="1"/>
      <c r="E45" s="1"/>
      <c r="F45" s="1"/>
      <c r="G45" s="1"/>
    </row>
    <row r="46" ht="14.25" customHeight="1">
      <c r="A46" s="24">
        <v>28.0</v>
      </c>
      <c r="B46" s="26"/>
      <c r="C46" s="25"/>
      <c r="D46" s="1"/>
      <c r="E46" s="1"/>
      <c r="F46" s="1"/>
      <c r="G46" s="1"/>
    </row>
    <row r="47" ht="14.25" customHeight="1">
      <c r="A47" s="24">
        <v>29.0</v>
      </c>
      <c r="B47" s="26"/>
      <c r="C47" s="25"/>
      <c r="D47" s="1"/>
      <c r="E47" s="1"/>
      <c r="F47" s="1"/>
      <c r="G47" s="1"/>
    </row>
    <row r="48" ht="14.25" customHeight="1">
      <c r="A48" s="24">
        <v>30.0</v>
      </c>
      <c r="B48" s="26"/>
      <c r="C48" s="25"/>
      <c r="D48" s="1"/>
      <c r="E48" s="1"/>
      <c r="F48" s="1"/>
      <c r="G48" s="1"/>
    </row>
    <row r="49" ht="14.25" customHeight="1">
      <c r="A49" s="24">
        <v>31.0</v>
      </c>
      <c r="B49" s="26"/>
      <c r="C49" s="25"/>
      <c r="D49" s="1"/>
      <c r="E49" s="1"/>
      <c r="F49" s="1"/>
      <c r="G49" s="1"/>
    </row>
    <row r="50" ht="14.25" customHeight="1">
      <c r="A50" s="24">
        <v>32.0</v>
      </c>
      <c r="B50" s="26"/>
      <c r="C50" s="25"/>
      <c r="D50" s="1"/>
      <c r="E50" s="1"/>
      <c r="F50" s="1"/>
      <c r="G50" s="1"/>
    </row>
    <row r="51" ht="14.25" customHeight="1">
      <c r="A51" s="1"/>
      <c r="B51" s="1"/>
      <c r="C51" s="1"/>
      <c r="D51" s="1"/>
      <c r="E51" s="1"/>
      <c r="F51" s="1"/>
      <c r="G51" s="1"/>
    </row>
    <row r="52" ht="14.25" customHeight="1">
      <c r="A52" s="28"/>
      <c r="B52" s="29" t="s">
        <v>20</v>
      </c>
      <c r="C52" s="30"/>
      <c r="D52" s="1"/>
      <c r="E52" s="1"/>
      <c r="F52" s="1"/>
      <c r="G52" s="1"/>
    </row>
    <row r="53" ht="14.25" customHeight="1">
      <c r="A53" s="31"/>
      <c r="B53" s="31"/>
      <c r="C53" s="31"/>
      <c r="D53" s="1"/>
      <c r="E53" s="1"/>
      <c r="F53" s="1"/>
      <c r="G53" s="1"/>
    </row>
    <row r="54" ht="14.25" customHeight="1">
      <c r="A54" s="1"/>
      <c r="B54" s="1"/>
      <c r="C54" s="1"/>
      <c r="D54" s="1"/>
      <c r="E54" s="1"/>
      <c r="F54" s="1"/>
      <c r="G54" s="1"/>
    </row>
    <row r="55" ht="14.25" customHeight="1">
      <c r="A55" s="1"/>
      <c r="B55" s="1"/>
      <c r="C55" s="1"/>
      <c r="D55" s="1"/>
      <c r="E55" s="1"/>
      <c r="F55" s="1"/>
      <c r="G55" s="1"/>
    </row>
    <row r="56" ht="14.25" customHeight="1">
      <c r="A56" s="1"/>
      <c r="B56" s="1"/>
      <c r="C56" s="1"/>
      <c r="D56" s="1"/>
      <c r="E56" s="1"/>
      <c r="F56" s="1"/>
      <c r="G56" s="1"/>
    </row>
    <row r="57" ht="14.25" customHeight="1">
      <c r="A57" s="1"/>
      <c r="B57" s="1"/>
      <c r="C57" s="1"/>
      <c r="D57" s="1"/>
      <c r="E57" s="1"/>
      <c r="F57" s="1"/>
      <c r="G57" s="1"/>
    </row>
    <row r="58" ht="14.25" customHeight="1">
      <c r="A58" s="32"/>
      <c r="C58" s="32"/>
    </row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10:D10"/>
    <mergeCell ref="C11:D11"/>
    <mergeCell ref="B12:D12"/>
    <mergeCell ref="C13:D13"/>
    <mergeCell ref="C14:D14"/>
    <mergeCell ref="B52:C52"/>
    <mergeCell ref="A58:B58"/>
    <mergeCell ref="B2:B4"/>
    <mergeCell ref="C2:D4"/>
    <mergeCell ref="C5:D5"/>
    <mergeCell ref="C6:D6"/>
    <mergeCell ref="C7:D7"/>
    <mergeCell ref="C8:D8"/>
    <mergeCell ref="C9:D9"/>
  </mergeCells>
  <printOptions/>
  <pageMargins bottom="0.75" footer="0.0" header="0.0" left="0.25" right="0.25" top="0.75"/>
  <pageSetup paperSize="9" orientation="portrait"/>
  <headerFooter>
    <oddFooter>&amp;LAnexo 2 - MS- 0028921_Rev.04 - Limpeza.&amp;RPágina &amp;P de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33.71"/>
    <col customWidth="1" min="3" max="3" width="34.0"/>
    <col customWidth="1" min="4" max="4" width="53.71"/>
    <col customWidth="1" min="5" max="5" width="23.86"/>
    <col customWidth="1" min="6" max="26" width="9.14"/>
  </cols>
  <sheetData>
    <row r="1" ht="3.0" customHeight="1"/>
    <row r="2" ht="9.0" hidden="1" customHeight="1"/>
    <row r="3" ht="14.25" customHeight="1">
      <c r="A3" s="1"/>
      <c r="B3" s="2"/>
      <c r="C3" s="3" t="s">
        <v>21</v>
      </c>
      <c r="D3" s="4"/>
    </row>
    <row r="4" ht="14.25" customHeight="1">
      <c r="A4" s="1"/>
      <c r="B4" s="5"/>
      <c r="C4" s="6"/>
      <c r="D4" s="7"/>
    </row>
    <row r="5" ht="19.5" customHeight="1">
      <c r="A5" s="1"/>
      <c r="B5" s="8"/>
      <c r="C5" s="9"/>
      <c r="D5" s="10"/>
    </row>
    <row r="6" ht="16.5" customHeight="1">
      <c r="A6" s="1"/>
      <c r="B6" s="11" t="s">
        <v>1</v>
      </c>
      <c r="C6" s="12"/>
      <c r="D6" s="13"/>
    </row>
    <row r="7" ht="14.25" customHeight="1">
      <c r="A7" s="1"/>
      <c r="B7" s="11" t="s">
        <v>2</v>
      </c>
      <c r="C7" s="14"/>
      <c r="D7" s="13"/>
    </row>
    <row r="8" ht="14.25" customHeight="1">
      <c r="A8" s="1"/>
      <c r="B8" s="11" t="s">
        <v>3</v>
      </c>
      <c r="C8" s="14" t="s">
        <v>22</v>
      </c>
      <c r="D8" s="13"/>
    </row>
    <row r="9" ht="14.25" customHeight="1">
      <c r="A9" s="1"/>
      <c r="B9" s="11" t="s">
        <v>5</v>
      </c>
      <c r="C9" s="14"/>
      <c r="D9" s="13"/>
    </row>
    <row r="10" ht="14.25" customHeight="1">
      <c r="A10" s="1"/>
      <c r="B10" s="11" t="s">
        <v>6</v>
      </c>
      <c r="C10" s="14" t="str">
        <f>'MS- 0028921 Limpeza'!C9</f>
        <v>Agulha hipodérmica estéril para uso único</v>
      </c>
      <c r="D10" s="13"/>
    </row>
    <row r="11" ht="15.0" customHeight="1">
      <c r="A11" s="1"/>
      <c r="B11" s="11" t="s">
        <v>8</v>
      </c>
      <c r="C11" s="14"/>
      <c r="D11" s="13"/>
    </row>
    <row r="12" ht="14.25" customHeight="1">
      <c r="A12" s="1"/>
      <c r="B12" s="11" t="s">
        <v>9</v>
      </c>
      <c r="C12" s="14"/>
      <c r="D12" s="13"/>
    </row>
    <row r="13" ht="14.25" customHeight="1">
      <c r="A13" s="1"/>
      <c r="B13" s="33" t="s">
        <v>10</v>
      </c>
      <c r="C13" s="18"/>
      <c r="D13" s="13"/>
    </row>
    <row r="14" ht="14.25" customHeight="1">
      <c r="A14" s="1"/>
      <c r="B14" s="11" t="s">
        <v>11</v>
      </c>
      <c r="C14" s="34" t="s">
        <v>23</v>
      </c>
      <c r="D14" s="13"/>
    </row>
    <row r="15" ht="14.25" customHeight="1">
      <c r="A15" s="1"/>
      <c r="B15" s="11" t="s">
        <v>13</v>
      </c>
      <c r="C15" s="20"/>
      <c r="D15" s="13"/>
    </row>
    <row r="16" ht="14.25" customHeight="1">
      <c r="A16" s="1"/>
      <c r="B16" s="11" t="s">
        <v>14</v>
      </c>
      <c r="C16" s="21" t="s">
        <v>15</v>
      </c>
      <c r="D16" s="11" t="s">
        <v>16</v>
      </c>
    </row>
    <row r="17" ht="14.25" customHeight="1">
      <c r="A17" s="1"/>
      <c r="B17" s="35" t="s">
        <v>24</v>
      </c>
      <c r="C17" s="36" t="s">
        <v>25</v>
      </c>
      <c r="D17" s="37" t="s">
        <v>26</v>
      </c>
    </row>
    <row r="18" ht="14.25" customHeight="1">
      <c r="A18" s="1"/>
      <c r="B18" s="35" t="s">
        <v>27</v>
      </c>
      <c r="C18" s="20"/>
      <c r="D18" s="11" t="s">
        <v>28</v>
      </c>
    </row>
    <row r="19" ht="14.25" customHeight="1">
      <c r="A19" s="1"/>
      <c r="B19" s="1"/>
      <c r="C19" s="1"/>
      <c r="D19" s="1"/>
      <c r="E19" s="38"/>
      <c r="F19" s="38"/>
    </row>
    <row r="20" ht="14.25" customHeight="1">
      <c r="A20" s="1"/>
      <c r="B20" s="1"/>
      <c r="C20" s="1"/>
      <c r="D20" s="1"/>
    </row>
    <row r="21" ht="14.25" customHeight="1">
      <c r="A21" s="1"/>
      <c r="B21" s="1"/>
      <c r="C21" s="1"/>
      <c r="D21" s="1"/>
    </row>
    <row r="22" ht="14.25" customHeight="1">
      <c r="A22" s="1"/>
      <c r="B22" s="39" t="s">
        <v>29</v>
      </c>
      <c r="C22" s="39" t="s">
        <v>30</v>
      </c>
      <c r="D22" s="39" t="s">
        <v>30</v>
      </c>
    </row>
    <row r="23" ht="14.25" customHeight="1">
      <c r="A23" s="1"/>
      <c r="B23" s="40" t="s">
        <v>31</v>
      </c>
      <c r="C23" s="41" t="s">
        <v>32</v>
      </c>
      <c r="D23" s="42" t="s">
        <v>33</v>
      </c>
    </row>
    <row r="24" ht="14.25" customHeight="1">
      <c r="A24" s="1"/>
      <c r="B24" s="43"/>
      <c r="C24" s="43">
        <v>1.0</v>
      </c>
      <c r="D24" s="43">
        <v>1.0</v>
      </c>
    </row>
    <row r="25" ht="14.25" customHeight="1">
      <c r="A25" s="1"/>
      <c r="B25" s="44"/>
      <c r="C25" s="45" t="str">
        <f>IF(B24="","-",B24+C24)</f>
        <v>-</v>
      </c>
      <c r="D25" s="45" t="str">
        <f>IF(B24="","-",B24-D24)</f>
        <v>-</v>
      </c>
    </row>
    <row r="26" ht="14.25" customHeight="1">
      <c r="A26" s="1"/>
      <c r="B26" s="1"/>
      <c r="C26" s="1"/>
      <c r="D26" s="1"/>
      <c r="F26" s="46"/>
    </row>
    <row r="27" ht="14.25" customHeight="1">
      <c r="A27" s="1"/>
      <c r="B27" s="1"/>
      <c r="D27" s="1"/>
    </row>
    <row r="28" ht="14.25" customHeight="1">
      <c r="A28" s="24"/>
      <c r="B28" s="23" t="s">
        <v>34</v>
      </c>
      <c r="C28" s="23" t="s">
        <v>35</v>
      </c>
      <c r="D28" s="22"/>
    </row>
    <row r="29" ht="14.25" customHeight="1">
      <c r="A29" s="24">
        <v>1.0</v>
      </c>
      <c r="B29" s="47"/>
      <c r="C29" s="48" t="str">
        <f t="shared" ref="C29:C60" si="1">IF(B29="","",IF(B29&gt;=$D$25,IF(B29&lt;$C$25,"Aprovado","Reprovado"),"Reprovado"))</f>
        <v/>
      </c>
      <c r="D29" s="44"/>
    </row>
    <row r="30" ht="14.25" customHeight="1">
      <c r="A30" s="24">
        <v>2.0</v>
      </c>
      <c r="B30" s="47"/>
      <c r="C30" s="48" t="str">
        <f t="shared" si="1"/>
        <v/>
      </c>
      <c r="D30" s="44"/>
    </row>
    <row r="31" ht="14.25" customHeight="1">
      <c r="A31" s="24">
        <v>3.0</v>
      </c>
      <c r="B31" s="47"/>
      <c r="C31" s="48" t="str">
        <f t="shared" si="1"/>
        <v/>
      </c>
      <c r="D31" s="44"/>
    </row>
    <row r="32" ht="14.25" customHeight="1">
      <c r="A32" s="24">
        <v>4.0</v>
      </c>
      <c r="B32" s="47"/>
      <c r="C32" s="48" t="str">
        <f t="shared" si="1"/>
        <v/>
      </c>
      <c r="D32" s="44"/>
    </row>
    <row r="33" ht="14.25" customHeight="1">
      <c r="A33" s="24">
        <v>5.0</v>
      </c>
      <c r="B33" s="47"/>
      <c r="C33" s="48" t="str">
        <f t="shared" si="1"/>
        <v/>
      </c>
      <c r="D33" s="44"/>
    </row>
    <row r="34" ht="14.25" customHeight="1">
      <c r="A34" s="24">
        <v>6.0</v>
      </c>
      <c r="B34" s="47"/>
      <c r="C34" s="48" t="str">
        <f t="shared" si="1"/>
        <v/>
      </c>
      <c r="D34" s="44"/>
    </row>
    <row r="35" ht="14.25" customHeight="1">
      <c r="A35" s="24">
        <v>7.0</v>
      </c>
      <c r="B35" s="47"/>
      <c r="C35" s="48" t="str">
        <f t="shared" si="1"/>
        <v/>
      </c>
      <c r="D35" s="44"/>
    </row>
    <row r="36" ht="14.25" customHeight="1">
      <c r="A36" s="24">
        <v>8.0</v>
      </c>
      <c r="B36" s="47"/>
      <c r="C36" s="48" t="str">
        <f t="shared" si="1"/>
        <v/>
      </c>
      <c r="D36" s="44"/>
    </row>
    <row r="37" ht="14.25" customHeight="1">
      <c r="A37" s="24">
        <v>9.0</v>
      </c>
      <c r="B37" s="47"/>
      <c r="C37" s="48" t="str">
        <f t="shared" si="1"/>
        <v/>
      </c>
      <c r="D37" s="44"/>
    </row>
    <row r="38" ht="14.25" customHeight="1">
      <c r="A38" s="24">
        <v>10.0</v>
      </c>
      <c r="B38" s="47"/>
      <c r="C38" s="48" t="str">
        <f t="shared" si="1"/>
        <v/>
      </c>
      <c r="D38" s="44"/>
    </row>
    <row r="39" ht="14.25" customHeight="1">
      <c r="A39" s="24">
        <v>11.0</v>
      </c>
      <c r="B39" s="47"/>
      <c r="C39" s="48" t="str">
        <f t="shared" si="1"/>
        <v/>
      </c>
      <c r="D39" s="44"/>
    </row>
    <row r="40" ht="14.25" customHeight="1">
      <c r="A40" s="24">
        <v>12.0</v>
      </c>
      <c r="B40" s="47"/>
      <c r="C40" s="48" t="str">
        <f t="shared" si="1"/>
        <v/>
      </c>
      <c r="D40" s="44"/>
    </row>
    <row r="41" ht="14.25" customHeight="1">
      <c r="A41" s="24">
        <v>13.0</v>
      </c>
      <c r="B41" s="47"/>
      <c r="C41" s="48" t="str">
        <f t="shared" si="1"/>
        <v/>
      </c>
      <c r="D41" s="44"/>
    </row>
    <row r="42" ht="14.25" customHeight="1">
      <c r="A42" s="24">
        <v>14.0</v>
      </c>
      <c r="B42" s="47"/>
      <c r="C42" s="48" t="str">
        <f t="shared" si="1"/>
        <v/>
      </c>
      <c r="D42" s="44"/>
    </row>
    <row r="43" ht="14.25" customHeight="1">
      <c r="A43" s="24">
        <v>15.0</v>
      </c>
      <c r="B43" s="47"/>
      <c r="C43" s="48" t="str">
        <f t="shared" si="1"/>
        <v/>
      </c>
      <c r="D43" s="44"/>
    </row>
    <row r="44" ht="14.25" customHeight="1">
      <c r="A44" s="24">
        <v>16.0</v>
      </c>
      <c r="B44" s="47"/>
      <c r="C44" s="48" t="str">
        <f t="shared" si="1"/>
        <v/>
      </c>
      <c r="D44" s="44"/>
    </row>
    <row r="45" ht="14.25" customHeight="1">
      <c r="A45" s="24">
        <v>17.0</v>
      </c>
      <c r="B45" s="47"/>
      <c r="C45" s="48" t="str">
        <f t="shared" si="1"/>
        <v/>
      </c>
      <c r="D45" s="44"/>
    </row>
    <row r="46" ht="14.25" customHeight="1">
      <c r="A46" s="24">
        <v>18.0</v>
      </c>
      <c r="B46" s="47"/>
      <c r="C46" s="48" t="str">
        <f t="shared" si="1"/>
        <v/>
      </c>
      <c r="D46" s="44"/>
    </row>
    <row r="47" ht="14.25" customHeight="1">
      <c r="A47" s="24">
        <v>19.0</v>
      </c>
      <c r="B47" s="47"/>
      <c r="C47" s="48" t="str">
        <f t="shared" si="1"/>
        <v/>
      </c>
      <c r="D47" s="44"/>
    </row>
    <row r="48" ht="14.25" customHeight="1">
      <c r="A48" s="24">
        <v>20.0</v>
      </c>
      <c r="B48" s="47"/>
      <c r="C48" s="48" t="str">
        <f t="shared" si="1"/>
        <v/>
      </c>
      <c r="D48" s="44"/>
    </row>
    <row r="49" ht="14.25" customHeight="1">
      <c r="A49" s="24">
        <v>21.0</v>
      </c>
      <c r="B49" s="47"/>
      <c r="C49" s="48" t="str">
        <f t="shared" si="1"/>
        <v/>
      </c>
      <c r="D49" s="44"/>
    </row>
    <row r="50" ht="14.25" customHeight="1">
      <c r="A50" s="24">
        <v>22.0</v>
      </c>
      <c r="B50" s="47"/>
      <c r="C50" s="48" t="str">
        <f t="shared" si="1"/>
        <v/>
      </c>
      <c r="D50" s="44"/>
    </row>
    <row r="51" ht="14.25" customHeight="1">
      <c r="A51" s="24">
        <v>23.0</v>
      </c>
      <c r="B51" s="47"/>
      <c r="C51" s="48" t="str">
        <f t="shared" si="1"/>
        <v/>
      </c>
      <c r="D51" s="44"/>
    </row>
    <row r="52" ht="14.25" customHeight="1">
      <c r="A52" s="24">
        <v>24.0</v>
      </c>
      <c r="B52" s="47"/>
      <c r="C52" s="48" t="str">
        <f t="shared" si="1"/>
        <v/>
      </c>
      <c r="D52" s="44"/>
    </row>
    <row r="53" ht="14.25" customHeight="1">
      <c r="A53" s="24">
        <v>25.0</v>
      </c>
      <c r="B53" s="47"/>
      <c r="C53" s="48" t="str">
        <f t="shared" si="1"/>
        <v/>
      </c>
      <c r="D53" s="44"/>
    </row>
    <row r="54" ht="14.25" customHeight="1">
      <c r="A54" s="24">
        <v>26.0</v>
      </c>
      <c r="B54" s="47"/>
      <c r="C54" s="48" t="str">
        <f t="shared" si="1"/>
        <v/>
      </c>
      <c r="D54" s="44"/>
    </row>
    <row r="55" ht="14.25" customHeight="1">
      <c r="A55" s="24">
        <v>27.0</v>
      </c>
      <c r="B55" s="47"/>
      <c r="C55" s="48" t="str">
        <f t="shared" si="1"/>
        <v/>
      </c>
      <c r="D55" s="44"/>
    </row>
    <row r="56" ht="14.25" customHeight="1">
      <c r="A56" s="24">
        <v>28.0</v>
      </c>
      <c r="B56" s="47"/>
      <c r="C56" s="48" t="str">
        <f t="shared" si="1"/>
        <v/>
      </c>
      <c r="D56" s="44"/>
    </row>
    <row r="57" ht="14.25" customHeight="1">
      <c r="A57" s="24">
        <v>29.0</v>
      </c>
      <c r="B57" s="47"/>
      <c r="C57" s="48" t="str">
        <f t="shared" si="1"/>
        <v/>
      </c>
      <c r="D57" s="44"/>
    </row>
    <row r="58" ht="14.25" customHeight="1">
      <c r="A58" s="24">
        <v>30.0</v>
      </c>
      <c r="B58" s="47"/>
      <c r="C58" s="48" t="str">
        <f t="shared" si="1"/>
        <v/>
      </c>
      <c r="D58" s="44"/>
    </row>
    <row r="59" ht="14.25" customHeight="1">
      <c r="A59" s="24">
        <v>31.0</v>
      </c>
      <c r="B59" s="47"/>
      <c r="C59" s="48" t="str">
        <f t="shared" si="1"/>
        <v/>
      </c>
      <c r="D59" s="44"/>
    </row>
    <row r="60" ht="14.25" customHeight="1">
      <c r="A60" s="24">
        <v>32.0</v>
      </c>
      <c r="B60" s="47"/>
      <c r="C60" s="48" t="str">
        <f t="shared" si="1"/>
        <v/>
      </c>
      <c r="D60" s="44"/>
    </row>
    <row r="61" ht="18.75" customHeight="1">
      <c r="A61" s="1"/>
      <c r="B61" s="1"/>
      <c r="C61" s="1"/>
      <c r="D61" s="1"/>
    </row>
    <row r="62" ht="15.75" customHeight="1">
      <c r="B62" s="49" t="s">
        <v>36</v>
      </c>
      <c r="C62" s="30"/>
      <c r="D62" s="50"/>
      <c r="E62" s="51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C11:D11"/>
    <mergeCell ref="C12:D12"/>
    <mergeCell ref="B13:D13"/>
    <mergeCell ref="C14:D14"/>
    <mergeCell ref="C15:D15"/>
    <mergeCell ref="B62:C62"/>
    <mergeCell ref="B3:B5"/>
    <mergeCell ref="C3:D5"/>
    <mergeCell ref="C6:D6"/>
    <mergeCell ref="C7:D7"/>
    <mergeCell ref="C8:D8"/>
    <mergeCell ref="C9:D9"/>
    <mergeCell ref="C10:D10"/>
  </mergeCells>
  <printOptions/>
  <pageMargins bottom="0.7480314960629921" footer="0.0" header="0.0" left="0.7086614173228347" right="0.7086614173228347" top="0.7480314960629921"/>
  <pageSetup paperSize="9" orientation="portrait"/>
  <headerFooter>
    <oddFooter>&amp;LAnexo 2 - MS- 0028921_Rev.04 - Ensaio de pH. &amp;RPágina &amp;P de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32.57"/>
    <col customWidth="1" min="3" max="3" width="29.57"/>
    <col customWidth="1" min="4" max="4" width="28.14"/>
    <col customWidth="1" min="5" max="5" width="24.86"/>
    <col customWidth="1" min="6" max="6" width="23.0"/>
    <col customWidth="1" min="7" max="7" width="24.71"/>
    <col customWidth="1" min="8" max="8" width="19.29"/>
    <col customWidth="1" min="9" max="26" width="9.14"/>
  </cols>
  <sheetData>
    <row r="1" ht="15.0" customHeight="1">
      <c r="G1" s="52"/>
    </row>
    <row r="2" ht="15.0" customHeight="1">
      <c r="A2" s="1"/>
      <c r="B2" s="2"/>
      <c r="C2" s="3" t="s">
        <v>37</v>
      </c>
      <c r="D2" s="53"/>
      <c r="E2" s="53"/>
      <c r="F2" s="4"/>
      <c r="G2" s="44"/>
      <c r="H2" s="1"/>
    </row>
    <row r="3" ht="17.25" customHeight="1">
      <c r="A3" s="1"/>
      <c r="B3" s="5"/>
      <c r="C3" s="6"/>
      <c r="F3" s="7"/>
      <c r="G3" s="44"/>
      <c r="H3" s="1"/>
    </row>
    <row r="4" ht="14.25" customHeight="1">
      <c r="A4" s="1"/>
      <c r="B4" s="54"/>
      <c r="C4" s="9"/>
      <c r="D4" s="55"/>
      <c r="E4" s="55"/>
      <c r="F4" s="10"/>
      <c r="G4" s="44"/>
      <c r="H4" s="1"/>
    </row>
    <row r="5" ht="14.25" customHeight="1">
      <c r="A5" s="1"/>
      <c r="B5" s="11" t="s">
        <v>1</v>
      </c>
      <c r="C5" s="12"/>
      <c r="D5" s="18"/>
      <c r="E5" s="18"/>
      <c r="F5" s="13"/>
      <c r="G5" s="44"/>
      <c r="H5" s="1"/>
    </row>
    <row r="6" ht="14.25" customHeight="1">
      <c r="A6" s="1"/>
      <c r="B6" s="11" t="s">
        <v>2</v>
      </c>
      <c r="C6" s="14"/>
      <c r="D6" s="18"/>
      <c r="E6" s="18"/>
      <c r="F6" s="13"/>
      <c r="G6" s="44"/>
      <c r="H6" s="1"/>
    </row>
    <row r="7" ht="14.25" customHeight="1">
      <c r="A7" s="1"/>
      <c r="B7" s="11" t="s">
        <v>3</v>
      </c>
      <c r="C7" s="14" t="s">
        <v>38</v>
      </c>
      <c r="D7" s="18"/>
      <c r="E7" s="18"/>
      <c r="F7" s="56"/>
      <c r="G7" s="44"/>
      <c r="H7" s="1"/>
    </row>
    <row r="8" ht="14.25" customHeight="1">
      <c r="A8" s="1"/>
      <c r="B8" s="11" t="s">
        <v>5</v>
      </c>
      <c r="C8" s="14"/>
      <c r="D8" s="18"/>
      <c r="E8" s="18"/>
      <c r="F8" s="13"/>
      <c r="G8" s="44"/>
      <c r="H8" s="1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8"/>
      <c r="E9" s="18"/>
      <c r="F9" s="13"/>
      <c r="G9" s="44"/>
      <c r="H9" s="1"/>
    </row>
    <row r="10" ht="14.25" customHeight="1">
      <c r="A10" s="1"/>
      <c r="B10" s="11" t="s">
        <v>8</v>
      </c>
      <c r="C10" s="14"/>
      <c r="D10" s="18"/>
      <c r="E10" s="18"/>
      <c r="F10" s="13"/>
      <c r="G10" s="44"/>
      <c r="H10" s="1"/>
    </row>
    <row r="11" ht="14.25" customHeight="1">
      <c r="A11" s="1"/>
      <c r="B11" s="11" t="s">
        <v>9</v>
      </c>
      <c r="C11" s="57"/>
      <c r="D11" s="18"/>
      <c r="E11" s="18"/>
      <c r="F11" s="13"/>
      <c r="G11" s="44"/>
      <c r="H11" s="1"/>
    </row>
    <row r="12" ht="14.25" customHeight="1">
      <c r="A12" s="1"/>
      <c r="B12" s="58" t="s">
        <v>10</v>
      </c>
      <c r="C12" s="59"/>
      <c r="D12" s="59"/>
      <c r="E12" s="59"/>
      <c r="F12" s="60"/>
      <c r="G12" s="44"/>
      <c r="H12" s="1"/>
    </row>
    <row r="13" ht="14.25" customHeight="1">
      <c r="A13" s="1"/>
      <c r="B13" s="11" t="s">
        <v>11</v>
      </c>
      <c r="C13" s="19" t="s">
        <v>39</v>
      </c>
      <c r="D13" s="18"/>
      <c r="E13" s="18"/>
      <c r="F13" s="13"/>
      <c r="G13" s="44"/>
      <c r="H13" s="1"/>
    </row>
    <row r="14" ht="14.25" customHeight="1">
      <c r="A14" s="1"/>
      <c r="B14" s="11" t="s">
        <v>13</v>
      </c>
      <c r="C14" s="20"/>
      <c r="D14" s="18"/>
      <c r="E14" s="18"/>
      <c r="F14" s="13"/>
      <c r="G14" s="44"/>
      <c r="H14" s="1"/>
    </row>
    <row r="15" ht="14.25" customHeight="1">
      <c r="A15" s="1"/>
      <c r="B15" s="11" t="s">
        <v>14</v>
      </c>
      <c r="C15" s="21" t="s">
        <v>40</v>
      </c>
      <c r="D15" s="61" t="s">
        <v>16</v>
      </c>
      <c r="E15" s="18"/>
      <c r="F15" s="13"/>
      <c r="G15" s="44"/>
      <c r="H15" s="1"/>
    </row>
    <row r="16" ht="14.25" customHeight="1">
      <c r="A16" s="1"/>
      <c r="B16" s="35" t="s">
        <v>24</v>
      </c>
      <c r="C16" s="36" t="s">
        <v>25</v>
      </c>
      <c r="D16" s="62" t="s">
        <v>26</v>
      </c>
      <c r="E16" s="18"/>
      <c r="F16" s="13"/>
      <c r="G16" s="63"/>
      <c r="H16" s="1"/>
    </row>
    <row r="17" ht="14.25" customHeight="1">
      <c r="A17" s="1"/>
      <c r="B17" s="35" t="s">
        <v>27</v>
      </c>
      <c r="C17" s="20"/>
      <c r="D17" s="14" t="s">
        <v>28</v>
      </c>
      <c r="E17" s="18"/>
      <c r="F17" s="13"/>
      <c r="G17" s="63"/>
      <c r="H17" s="1"/>
    </row>
    <row r="18" ht="14.25" customHeight="1">
      <c r="A18" s="1"/>
      <c r="B18" s="24"/>
      <c r="C18" s="64"/>
      <c r="D18" s="65"/>
      <c r="E18" s="65"/>
      <c r="F18" s="64"/>
      <c r="G18" s="63"/>
      <c r="H18" s="1"/>
    </row>
    <row r="19" ht="14.25" customHeight="1">
      <c r="A19" s="1"/>
      <c r="B19" s="24"/>
      <c r="C19" s="64"/>
      <c r="D19" s="64"/>
      <c r="E19" s="64"/>
      <c r="F19" s="64"/>
      <c r="G19" s="63"/>
      <c r="H19" s="1"/>
    </row>
    <row r="20" ht="14.25" customHeight="1">
      <c r="A20" s="1"/>
      <c r="B20" s="66" t="s">
        <v>41</v>
      </c>
      <c r="C20" s="18"/>
      <c r="D20" s="18"/>
      <c r="E20" s="18"/>
      <c r="F20" s="18"/>
      <c r="G20" s="13"/>
      <c r="H20" s="1"/>
    </row>
    <row r="21" ht="14.25" customHeight="1">
      <c r="A21" s="67"/>
      <c r="B21" s="68" t="s">
        <v>42</v>
      </c>
      <c r="C21" s="68" t="s">
        <v>43</v>
      </c>
      <c r="D21" s="69" t="s">
        <v>44</v>
      </c>
      <c r="E21" s="23" t="s">
        <v>45</v>
      </c>
      <c r="F21" s="23" t="s">
        <v>46</v>
      </c>
      <c r="G21" s="23" t="s">
        <v>47</v>
      </c>
      <c r="H21" s="1"/>
    </row>
    <row r="22" ht="14.25" customHeight="1">
      <c r="A22" s="70">
        <v>1.0</v>
      </c>
      <c r="B22" s="71"/>
      <c r="C22" s="72" t="s">
        <v>48</v>
      </c>
      <c r="D22" s="71"/>
      <c r="E22" s="71"/>
      <c r="F22" s="73" t="s">
        <v>49</v>
      </c>
      <c r="G22" s="71"/>
      <c r="H22" s="1"/>
    </row>
    <row r="23" ht="14.25" customHeight="1">
      <c r="A23" s="70">
        <v>2.0</v>
      </c>
      <c r="B23" s="71"/>
      <c r="C23" s="72" t="s">
        <v>48</v>
      </c>
      <c r="D23" s="71"/>
      <c r="E23" s="71"/>
      <c r="F23" s="73" t="s">
        <v>49</v>
      </c>
      <c r="G23" s="71"/>
      <c r="H23" s="1"/>
    </row>
    <row r="24" ht="14.25" customHeight="1">
      <c r="A24" s="70">
        <v>3.0</v>
      </c>
      <c r="B24" s="71"/>
      <c r="C24" s="72" t="s">
        <v>48</v>
      </c>
      <c r="D24" s="71"/>
      <c r="E24" s="71"/>
      <c r="F24" s="73" t="s">
        <v>49</v>
      </c>
      <c r="G24" s="71"/>
      <c r="H24" s="1"/>
    </row>
    <row r="25" ht="14.25" customHeight="1">
      <c r="A25" s="70">
        <v>4.0</v>
      </c>
      <c r="B25" s="71"/>
      <c r="C25" s="72" t="s">
        <v>48</v>
      </c>
      <c r="D25" s="71"/>
      <c r="E25" s="71"/>
      <c r="F25" s="73" t="s">
        <v>49</v>
      </c>
      <c r="G25" s="71"/>
      <c r="H25" s="1"/>
    </row>
    <row r="26" ht="14.25" customHeight="1">
      <c r="A26" s="70">
        <v>5.0</v>
      </c>
      <c r="B26" s="71"/>
      <c r="C26" s="72" t="s">
        <v>48</v>
      </c>
      <c r="D26" s="71"/>
      <c r="E26" s="71"/>
      <c r="F26" s="73" t="s">
        <v>49</v>
      </c>
      <c r="G26" s="71"/>
      <c r="H26" s="1"/>
    </row>
    <row r="27" ht="14.25" customHeight="1">
      <c r="A27" s="70">
        <v>6.0</v>
      </c>
      <c r="B27" s="71"/>
      <c r="C27" s="72" t="s">
        <v>48</v>
      </c>
      <c r="D27" s="71"/>
      <c r="E27" s="71"/>
      <c r="F27" s="73" t="s">
        <v>49</v>
      </c>
      <c r="G27" s="71"/>
      <c r="H27" s="1"/>
    </row>
    <row r="28" ht="14.25" customHeight="1">
      <c r="A28" s="70">
        <v>7.0</v>
      </c>
      <c r="B28" s="71"/>
      <c r="C28" s="72" t="s">
        <v>48</v>
      </c>
      <c r="D28" s="71"/>
      <c r="E28" s="71"/>
      <c r="F28" s="73" t="s">
        <v>49</v>
      </c>
      <c r="G28" s="71"/>
      <c r="H28" s="1"/>
    </row>
    <row r="29" ht="14.25" customHeight="1">
      <c r="A29" s="70">
        <v>8.0</v>
      </c>
      <c r="B29" s="71"/>
      <c r="C29" s="72" t="s">
        <v>48</v>
      </c>
      <c r="D29" s="71"/>
      <c r="E29" s="71"/>
      <c r="F29" s="73" t="s">
        <v>49</v>
      </c>
      <c r="G29" s="71"/>
      <c r="H29" s="1"/>
    </row>
    <row r="30" ht="14.25" customHeight="1">
      <c r="A30" s="70">
        <v>9.0</v>
      </c>
      <c r="B30" s="71"/>
      <c r="C30" s="72" t="s">
        <v>48</v>
      </c>
      <c r="D30" s="71"/>
      <c r="E30" s="71"/>
      <c r="F30" s="73" t="s">
        <v>49</v>
      </c>
      <c r="G30" s="71"/>
      <c r="H30" s="1"/>
    </row>
    <row r="31" ht="14.25" customHeight="1">
      <c r="A31" s="70">
        <v>10.0</v>
      </c>
      <c r="B31" s="71"/>
      <c r="C31" s="72" t="s">
        <v>48</v>
      </c>
      <c r="D31" s="71"/>
      <c r="E31" s="71"/>
      <c r="F31" s="73" t="s">
        <v>49</v>
      </c>
      <c r="G31" s="71"/>
      <c r="H31" s="1"/>
    </row>
    <row r="32" ht="14.25" customHeight="1">
      <c r="A32" s="70">
        <v>11.0</v>
      </c>
      <c r="B32" s="71"/>
      <c r="C32" s="72" t="s">
        <v>48</v>
      </c>
      <c r="D32" s="71"/>
      <c r="E32" s="71"/>
      <c r="F32" s="73" t="s">
        <v>49</v>
      </c>
      <c r="G32" s="71"/>
      <c r="H32" s="1"/>
    </row>
    <row r="33" ht="14.25" customHeight="1">
      <c r="A33" s="70">
        <v>12.0</v>
      </c>
      <c r="B33" s="71"/>
      <c r="C33" s="72" t="s">
        <v>48</v>
      </c>
      <c r="D33" s="71"/>
      <c r="E33" s="71"/>
      <c r="F33" s="73" t="s">
        <v>49</v>
      </c>
      <c r="G33" s="71"/>
      <c r="H33" s="1"/>
    </row>
    <row r="34" ht="14.25" customHeight="1">
      <c r="A34" s="70">
        <v>13.0</v>
      </c>
      <c r="B34" s="71"/>
      <c r="C34" s="72" t="s">
        <v>48</v>
      </c>
      <c r="D34" s="71"/>
      <c r="E34" s="71"/>
      <c r="F34" s="73" t="s">
        <v>49</v>
      </c>
      <c r="G34" s="71"/>
      <c r="H34" s="1"/>
    </row>
    <row r="35" ht="14.25" customHeight="1">
      <c r="A35" s="70">
        <v>14.0</v>
      </c>
      <c r="B35" s="71"/>
      <c r="C35" s="72" t="s">
        <v>48</v>
      </c>
      <c r="D35" s="71"/>
      <c r="E35" s="71"/>
      <c r="F35" s="73" t="s">
        <v>49</v>
      </c>
      <c r="G35" s="71"/>
      <c r="H35" s="1"/>
    </row>
    <row r="36" ht="14.25" customHeight="1">
      <c r="A36" s="70">
        <v>15.0</v>
      </c>
      <c r="B36" s="71"/>
      <c r="C36" s="72" t="s">
        <v>48</v>
      </c>
      <c r="D36" s="71"/>
      <c r="E36" s="71"/>
      <c r="F36" s="73" t="s">
        <v>49</v>
      </c>
      <c r="G36" s="71"/>
      <c r="H36" s="1"/>
    </row>
    <row r="37" ht="14.25" customHeight="1">
      <c r="A37" s="70">
        <v>16.0</v>
      </c>
      <c r="B37" s="71"/>
      <c r="C37" s="72" t="s">
        <v>48</v>
      </c>
      <c r="D37" s="71"/>
      <c r="E37" s="71"/>
      <c r="F37" s="73" t="s">
        <v>49</v>
      </c>
      <c r="G37" s="71"/>
      <c r="H37" s="1"/>
    </row>
    <row r="38" ht="14.25" customHeight="1">
      <c r="A38" s="70">
        <v>17.0</v>
      </c>
      <c r="B38" s="71"/>
      <c r="C38" s="72" t="s">
        <v>48</v>
      </c>
      <c r="D38" s="71"/>
      <c r="E38" s="71"/>
      <c r="F38" s="73" t="s">
        <v>49</v>
      </c>
      <c r="G38" s="71"/>
      <c r="H38" s="1"/>
    </row>
    <row r="39" ht="14.25" customHeight="1">
      <c r="A39" s="70">
        <v>18.0</v>
      </c>
      <c r="B39" s="71"/>
      <c r="C39" s="72" t="s">
        <v>48</v>
      </c>
      <c r="D39" s="71"/>
      <c r="E39" s="71"/>
      <c r="F39" s="73" t="s">
        <v>49</v>
      </c>
      <c r="G39" s="71"/>
      <c r="H39" s="1"/>
    </row>
    <row r="40" ht="14.25" customHeight="1">
      <c r="A40" s="70">
        <v>19.0</v>
      </c>
      <c r="B40" s="71"/>
      <c r="C40" s="72" t="s">
        <v>48</v>
      </c>
      <c r="D40" s="71"/>
      <c r="E40" s="71"/>
      <c r="F40" s="73" t="s">
        <v>49</v>
      </c>
      <c r="G40" s="71"/>
      <c r="H40" s="1"/>
    </row>
    <row r="41" ht="14.25" customHeight="1">
      <c r="A41" s="70">
        <v>20.0</v>
      </c>
      <c r="B41" s="71"/>
      <c r="C41" s="72" t="s">
        <v>48</v>
      </c>
      <c r="D41" s="71"/>
      <c r="E41" s="71"/>
      <c r="F41" s="73" t="s">
        <v>49</v>
      </c>
      <c r="G41" s="71"/>
      <c r="H41" s="1"/>
    </row>
    <row r="42" ht="14.25" customHeight="1">
      <c r="A42" s="70">
        <v>21.0</v>
      </c>
      <c r="B42" s="71"/>
      <c r="C42" s="72" t="s">
        <v>48</v>
      </c>
      <c r="D42" s="71"/>
      <c r="E42" s="71"/>
      <c r="F42" s="73" t="s">
        <v>49</v>
      </c>
      <c r="G42" s="71"/>
      <c r="H42" s="1"/>
    </row>
    <row r="43" ht="14.25" customHeight="1">
      <c r="A43" s="70">
        <v>22.0</v>
      </c>
      <c r="B43" s="71"/>
      <c r="C43" s="72" t="s">
        <v>48</v>
      </c>
      <c r="D43" s="71"/>
      <c r="E43" s="71"/>
      <c r="F43" s="73" t="s">
        <v>49</v>
      </c>
      <c r="G43" s="71"/>
      <c r="H43" s="1"/>
    </row>
    <row r="44" ht="14.25" customHeight="1">
      <c r="A44" s="70">
        <v>23.0</v>
      </c>
      <c r="B44" s="71"/>
      <c r="C44" s="72" t="s">
        <v>48</v>
      </c>
      <c r="D44" s="71"/>
      <c r="E44" s="71"/>
      <c r="F44" s="73" t="s">
        <v>49</v>
      </c>
      <c r="G44" s="71"/>
      <c r="H44" s="1"/>
    </row>
    <row r="45" ht="14.25" customHeight="1">
      <c r="A45" s="70">
        <v>24.0</v>
      </c>
      <c r="B45" s="71"/>
      <c r="C45" s="72" t="s">
        <v>48</v>
      </c>
      <c r="D45" s="71"/>
      <c r="E45" s="71"/>
      <c r="F45" s="73" t="s">
        <v>49</v>
      </c>
      <c r="G45" s="71"/>
      <c r="H45" s="1"/>
    </row>
    <row r="46" ht="14.25" customHeight="1">
      <c r="A46" s="70">
        <v>25.0</v>
      </c>
      <c r="B46" s="71"/>
      <c r="C46" s="72" t="s">
        <v>48</v>
      </c>
      <c r="D46" s="71"/>
      <c r="E46" s="71"/>
      <c r="F46" s="73" t="s">
        <v>49</v>
      </c>
      <c r="G46" s="71"/>
      <c r="H46" s="1"/>
    </row>
    <row r="47" ht="14.25" customHeight="1">
      <c r="A47" s="70">
        <v>26.0</v>
      </c>
      <c r="B47" s="71"/>
      <c r="C47" s="72" t="s">
        <v>48</v>
      </c>
      <c r="D47" s="71"/>
      <c r="E47" s="71"/>
      <c r="F47" s="73" t="s">
        <v>49</v>
      </c>
      <c r="G47" s="71"/>
      <c r="H47" s="1"/>
    </row>
    <row r="48" ht="14.25" customHeight="1">
      <c r="A48" s="70">
        <v>27.0</v>
      </c>
      <c r="B48" s="71"/>
      <c r="C48" s="72" t="s">
        <v>48</v>
      </c>
      <c r="D48" s="71"/>
      <c r="E48" s="71"/>
      <c r="F48" s="73" t="s">
        <v>49</v>
      </c>
      <c r="G48" s="71"/>
      <c r="H48" s="1"/>
    </row>
    <row r="49" ht="14.25" customHeight="1">
      <c r="A49" s="70">
        <v>28.0</v>
      </c>
      <c r="B49" s="71"/>
      <c r="C49" s="72" t="s">
        <v>48</v>
      </c>
      <c r="D49" s="71"/>
      <c r="E49" s="71"/>
      <c r="F49" s="73" t="s">
        <v>49</v>
      </c>
      <c r="G49" s="71"/>
      <c r="H49" s="1"/>
    </row>
    <row r="50" ht="14.25" customHeight="1">
      <c r="A50" s="70">
        <v>29.0</v>
      </c>
      <c r="B50" s="71"/>
      <c r="C50" s="72" t="s">
        <v>48</v>
      </c>
      <c r="D50" s="71"/>
      <c r="E50" s="71"/>
      <c r="F50" s="73" t="s">
        <v>49</v>
      </c>
      <c r="G50" s="71"/>
      <c r="H50" s="1"/>
    </row>
    <row r="51" ht="14.25" customHeight="1">
      <c r="A51" s="70">
        <v>30.0</v>
      </c>
      <c r="B51" s="71"/>
      <c r="C51" s="72" t="s">
        <v>48</v>
      </c>
      <c r="D51" s="71"/>
      <c r="E51" s="71"/>
      <c r="F51" s="73" t="s">
        <v>49</v>
      </c>
      <c r="G51" s="71"/>
      <c r="H51" s="1"/>
    </row>
    <row r="52" ht="16.5" customHeight="1">
      <c r="A52" s="70">
        <v>31.0</v>
      </c>
      <c r="B52" s="71"/>
      <c r="C52" s="72" t="s">
        <v>48</v>
      </c>
      <c r="D52" s="71"/>
      <c r="E52" s="71"/>
      <c r="F52" s="73" t="s">
        <v>49</v>
      </c>
      <c r="G52" s="71"/>
      <c r="H52" s="1"/>
    </row>
    <row r="53" ht="14.25" customHeight="1">
      <c r="A53" s="70">
        <v>32.0</v>
      </c>
      <c r="B53" s="71"/>
      <c r="C53" s="72" t="s">
        <v>48</v>
      </c>
      <c r="D53" s="71"/>
      <c r="E53" s="71"/>
      <c r="F53" s="73" t="s">
        <v>49</v>
      </c>
      <c r="G53" s="71"/>
      <c r="H53" s="1"/>
    </row>
    <row r="54" ht="14.25" customHeight="1">
      <c r="A54" s="70"/>
      <c r="B54" s="74"/>
      <c r="C54" s="74"/>
      <c r="D54" s="75"/>
      <c r="E54" s="76"/>
      <c r="F54" s="76"/>
      <c r="G54" s="44"/>
      <c r="H54" s="1"/>
    </row>
    <row r="55" ht="14.25" customHeight="1">
      <c r="A55" s="67"/>
      <c r="B55" s="77" t="s">
        <v>36</v>
      </c>
      <c r="C55" s="78"/>
      <c r="D55" s="67"/>
      <c r="E55" s="1"/>
      <c r="F55" s="1"/>
      <c r="G55" s="44"/>
      <c r="H55" s="1"/>
    </row>
    <row r="56" ht="15.0" customHeight="1">
      <c r="A56" s="67"/>
      <c r="B56" s="79"/>
      <c r="C56" s="59"/>
      <c r="D56" s="59"/>
      <c r="E56" s="59"/>
      <c r="F56" s="59"/>
      <c r="G56" s="80"/>
      <c r="H56" s="1"/>
    </row>
    <row r="57" ht="14.25" hidden="1" customHeight="1">
      <c r="A57" s="67"/>
      <c r="B57" s="66" t="s">
        <v>50</v>
      </c>
      <c r="C57" s="18"/>
      <c r="D57" s="18"/>
      <c r="E57" s="18"/>
      <c r="F57" s="18"/>
      <c r="G57" s="18"/>
      <c r="H57" s="13"/>
    </row>
    <row r="58" ht="14.25" hidden="1" customHeight="1">
      <c r="A58" s="67"/>
      <c r="B58" s="68" t="s">
        <v>51</v>
      </c>
      <c r="C58" s="68" t="s">
        <v>52</v>
      </c>
      <c r="D58" s="69" t="s">
        <v>53</v>
      </c>
      <c r="E58" s="23" t="s">
        <v>54</v>
      </c>
      <c r="F58" s="23" t="s">
        <v>43</v>
      </c>
      <c r="G58" s="81" t="s">
        <v>46</v>
      </c>
      <c r="H58" s="23" t="s">
        <v>47</v>
      </c>
    </row>
    <row r="59" ht="14.25" hidden="1" customHeight="1">
      <c r="A59" s="70">
        <v>1.0</v>
      </c>
      <c r="B59" s="82"/>
      <c r="C59" s="83"/>
      <c r="D59" s="84"/>
      <c r="E59" s="85"/>
      <c r="F59" s="85"/>
      <c r="G59" s="86" t="str">
        <f t="shared" ref="G59:G90" si="1">IF(B59="","",(B59+C59+D59+E59+F59))</f>
        <v/>
      </c>
      <c r="H59" s="11"/>
    </row>
    <row r="60" ht="14.25" hidden="1" customHeight="1">
      <c r="A60" s="70">
        <v>2.0</v>
      </c>
      <c r="B60" s="82"/>
      <c r="C60" s="83"/>
      <c r="D60" s="84"/>
      <c r="E60" s="85"/>
      <c r="F60" s="85"/>
      <c r="G60" s="86" t="str">
        <f t="shared" si="1"/>
        <v/>
      </c>
      <c r="H60" s="11"/>
    </row>
    <row r="61" ht="14.25" hidden="1" customHeight="1">
      <c r="A61" s="70">
        <v>3.0</v>
      </c>
      <c r="B61" s="82"/>
      <c r="C61" s="83"/>
      <c r="D61" s="84"/>
      <c r="E61" s="85"/>
      <c r="F61" s="85"/>
      <c r="G61" s="86" t="str">
        <f t="shared" si="1"/>
        <v/>
      </c>
      <c r="H61" s="11"/>
    </row>
    <row r="62" ht="14.25" hidden="1" customHeight="1">
      <c r="A62" s="70">
        <v>4.0</v>
      </c>
      <c r="B62" s="82"/>
      <c r="C62" s="83"/>
      <c r="D62" s="84"/>
      <c r="E62" s="85"/>
      <c r="F62" s="85"/>
      <c r="G62" s="86" t="str">
        <f t="shared" si="1"/>
        <v/>
      </c>
      <c r="H62" s="11"/>
    </row>
    <row r="63" ht="14.25" hidden="1" customHeight="1">
      <c r="A63" s="70">
        <v>5.0</v>
      </c>
      <c r="B63" s="82"/>
      <c r="C63" s="83"/>
      <c r="D63" s="84"/>
      <c r="E63" s="85"/>
      <c r="F63" s="85"/>
      <c r="G63" s="86" t="str">
        <f t="shared" si="1"/>
        <v/>
      </c>
      <c r="H63" s="11"/>
    </row>
    <row r="64" ht="14.25" hidden="1" customHeight="1">
      <c r="A64" s="70">
        <v>6.0</v>
      </c>
      <c r="B64" s="82"/>
      <c r="C64" s="83"/>
      <c r="D64" s="84"/>
      <c r="E64" s="85"/>
      <c r="F64" s="85"/>
      <c r="G64" s="86" t="str">
        <f t="shared" si="1"/>
        <v/>
      </c>
      <c r="H64" s="11"/>
    </row>
    <row r="65" ht="14.25" hidden="1" customHeight="1">
      <c r="A65" s="70">
        <v>7.0</v>
      </c>
      <c r="B65" s="82"/>
      <c r="C65" s="83"/>
      <c r="D65" s="84"/>
      <c r="E65" s="85"/>
      <c r="F65" s="85"/>
      <c r="G65" s="86" t="str">
        <f t="shared" si="1"/>
        <v/>
      </c>
      <c r="H65" s="11"/>
    </row>
    <row r="66" ht="14.25" hidden="1" customHeight="1">
      <c r="A66" s="70">
        <v>8.0</v>
      </c>
      <c r="B66" s="82"/>
      <c r="C66" s="83"/>
      <c r="D66" s="84"/>
      <c r="E66" s="85"/>
      <c r="F66" s="85"/>
      <c r="G66" s="86" t="str">
        <f t="shared" si="1"/>
        <v/>
      </c>
      <c r="H66" s="11"/>
    </row>
    <row r="67" ht="14.25" hidden="1" customHeight="1">
      <c r="A67" s="70">
        <v>9.0</v>
      </c>
      <c r="B67" s="82"/>
      <c r="C67" s="83"/>
      <c r="D67" s="84"/>
      <c r="E67" s="85"/>
      <c r="F67" s="85"/>
      <c r="G67" s="86" t="str">
        <f t="shared" si="1"/>
        <v/>
      </c>
      <c r="H67" s="11"/>
    </row>
    <row r="68" ht="14.25" hidden="1" customHeight="1">
      <c r="A68" s="70">
        <v>10.0</v>
      </c>
      <c r="B68" s="82"/>
      <c r="C68" s="83"/>
      <c r="D68" s="84"/>
      <c r="E68" s="85"/>
      <c r="F68" s="85"/>
      <c r="G68" s="86" t="str">
        <f t="shared" si="1"/>
        <v/>
      </c>
      <c r="H68" s="11"/>
    </row>
    <row r="69" ht="14.25" hidden="1" customHeight="1">
      <c r="A69" s="70">
        <v>11.0</v>
      </c>
      <c r="B69" s="82"/>
      <c r="C69" s="83"/>
      <c r="D69" s="84"/>
      <c r="E69" s="85"/>
      <c r="F69" s="85"/>
      <c r="G69" s="86" t="str">
        <f t="shared" si="1"/>
        <v/>
      </c>
      <c r="H69" s="11"/>
    </row>
    <row r="70" ht="14.25" hidden="1" customHeight="1">
      <c r="A70" s="70">
        <v>12.0</v>
      </c>
      <c r="B70" s="82"/>
      <c r="C70" s="83"/>
      <c r="D70" s="84"/>
      <c r="E70" s="85"/>
      <c r="F70" s="85"/>
      <c r="G70" s="86" t="str">
        <f t="shared" si="1"/>
        <v/>
      </c>
      <c r="H70" s="11"/>
    </row>
    <row r="71" ht="14.25" hidden="1" customHeight="1">
      <c r="A71" s="70">
        <v>13.0</v>
      </c>
      <c r="B71" s="82"/>
      <c r="C71" s="83"/>
      <c r="D71" s="84"/>
      <c r="E71" s="85"/>
      <c r="F71" s="85"/>
      <c r="G71" s="86" t="str">
        <f t="shared" si="1"/>
        <v/>
      </c>
      <c r="H71" s="11"/>
    </row>
    <row r="72" ht="14.25" hidden="1" customHeight="1">
      <c r="A72" s="70">
        <v>14.0</v>
      </c>
      <c r="B72" s="82"/>
      <c r="C72" s="83"/>
      <c r="D72" s="84"/>
      <c r="E72" s="85"/>
      <c r="F72" s="85"/>
      <c r="G72" s="86" t="str">
        <f t="shared" si="1"/>
        <v/>
      </c>
      <c r="H72" s="11"/>
    </row>
    <row r="73" ht="14.25" hidden="1" customHeight="1">
      <c r="A73" s="70">
        <v>15.0</v>
      </c>
      <c r="B73" s="82"/>
      <c r="C73" s="83"/>
      <c r="D73" s="84"/>
      <c r="E73" s="85"/>
      <c r="F73" s="85"/>
      <c r="G73" s="86" t="str">
        <f t="shared" si="1"/>
        <v/>
      </c>
      <c r="H73" s="11"/>
    </row>
    <row r="74" ht="14.25" hidden="1" customHeight="1">
      <c r="A74" s="70">
        <v>16.0</v>
      </c>
      <c r="B74" s="82"/>
      <c r="C74" s="83"/>
      <c r="D74" s="84"/>
      <c r="E74" s="85"/>
      <c r="F74" s="85"/>
      <c r="G74" s="86" t="str">
        <f t="shared" si="1"/>
        <v/>
      </c>
      <c r="H74" s="11"/>
    </row>
    <row r="75" ht="14.25" hidden="1" customHeight="1">
      <c r="A75" s="70">
        <v>17.0</v>
      </c>
      <c r="B75" s="82"/>
      <c r="C75" s="83"/>
      <c r="D75" s="84"/>
      <c r="E75" s="85"/>
      <c r="F75" s="85"/>
      <c r="G75" s="86" t="str">
        <f t="shared" si="1"/>
        <v/>
      </c>
      <c r="H75" s="11"/>
    </row>
    <row r="76" ht="14.25" hidden="1" customHeight="1">
      <c r="A76" s="70">
        <v>18.0</v>
      </c>
      <c r="B76" s="82"/>
      <c r="C76" s="83"/>
      <c r="D76" s="84"/>
      <c r="E76" s="85"/>
      <c r="F76" s="85"/>
      <c r="G76" s="86" t="str">
        <f t="shared" si="1"/>
        <v/>
      </c>
      <c r="H76" s="11"/>
    </row>
    <row r="77" ht="14.25" hidden="1" customHeight="1">
      <c r="A77" s="70">
        <v>19.0</v>
      </c>
      <c r="B77" s="82"/>
      <c r="C77" s="83"/>
      <c r="D77" s="84"/>
      <c r="E77" s="85"/>
      <c r="F77" s="85"/>
      <c r="G77" s="86" t="str">
        <f t="shared" si="1"/>
        <v/>
      </c>
      <c r="H77" s="11"/>
    </row>
    <row r="78" ht="14.25" hidden="1" customHeight="1">
      <c r="A78" s="70">
        <v>20.0</v>
      </c>
      <c r="B78" s="82"/>
      <c r="C78" s="83"/>
      <c r="D78" s="84"/>
      <c r="E78" s="85"/>
      <c r="F78" s="85"/>
      <c r="G78" s="86" t="str">
        <f t="shared" si="1"/>
        <v/>
      </c>
      <c r="H78" s="11"/>
    </row>
    <row r="79" ht="14.25" hidden="1" customHeight="1">
      <c r="A79" s="70">
        <v>21.0</v>
      </c>
      <c r="B79" s="82"/>
      <c r="C79" s="83"/>
      <c r="D79" s="84"/>
      <c r="E79" s="85"/>
      <c r="F79" s="85"/>
      <c r="G79" s="86" t="str">
        <f t="shared" si="1"/>
        <v/>
      </c>
      <c r="H79" s="11"/>
    </row>
    <row r="80" ht="14.25" hidden="1" customHeight="1">
      <c r="A80" s="70">
        <v>22.0</v>
      </c>
      <c r="B80" s="82"/>
      <c r="C80" s="83"/>
      <c r="D80" s="84"/>
      <c r="E80" s="85"/>
      <c r="F80" s="85"/>
      <c r="G80" s="86" t="str">
        <f t="shared" si="1"/>
        <v/>
      </c>
      <c r="H80" s="11"/>
    </row>
    <row r="81" ht="14.25" hidden="1" customHeight="1">
      <c r="A81" s="70">
        <v>23.0</v>
      </c>
      <c r="B81" s="82"/>
      <c r="C81" s="83"/>
      <c r="D81" s="84"/>
      <c r="E81" s="85"/>
      <c r="F81" s="85"/>
      <c r="G81" s="86" t="str">
        <f t="shared" si="1"/>
        <v/>
      </c>
      <c r="H81" s="11"/>
    </row>
    <row r="82" ht="14.25" hidden="1" customHeight="1">
      <c r="A82" s="70">
        <v>24.0</v>
      </c>
      <c r="B82" s="82"/>
      <c r="C82" s="83"/>
      <c r="D82" s="84"/>
      <c r="E82" s="85"/>
      <c r="F82" s="85"/>
      <c r="G82" s="86" t="str">
        <f t="shared" si="1"/>
        <v/>
      </c>
      <c r="H82" s="11"/>
    </row>
    <row r="83" ht="14.25" hidden="1" customHeight="1">
      <c r="A83" s="70">
        <v>25.0</v>
      </c>
      <c r="B83" s="82"/>
      <c r="C83" s="83"/>
      <c r="D83" s="84"/>
      <c r="E83" s="85"/>
      <c r="F83" s="85"/>
      <c r="G83" s="86" t="str">
        <f t="shared" si="1"/>
        <v/>
      </c>
      <c r="H83" s="11"/>
    </row>
    <row r="84" ht="14.25" hidden="1" customHeight="1">
      <c r="A84" s="70">
        <v>26.0</v>
      </c>
      <c r="B84" s="82"/>
      <c r="C84" s="83"/>
      <c r="D84" s="84"/>
      <c r="E84" s="85"/>
      <c r="F84" s="85"/>
      <c r="G84" s="86" t="str">
        <f t="shared" si="1"/>
        <v/>
      </c>
      <c r="H84" s="11"/>
    </row>
    <row r="85" ht="14.25" hidden="1" customHeight="1">
      <c r="A85" s="70">
        <v>27.0</v>
      </c>
      <c r="B85" s="82"/>
      <c r="C85" s="83"/>
      <c r="D85" s="84"/>
      <c r="E85" s="85"/>
      <c r="F85" s="85"/>
      <c r="G85" s="86" t="str">
        <f t="shared" si="1"/>
        <v/>
      </c>
      <c r="H85" s="11"/>
    </row>
    <row r="86" ht="14.25" hidden="1" customHeight="1">
      <c r="A86" s="70">
        <v>28.0</v>
      </c>
      <c r="B86" s="82"/>
      <c r="C86" s="83"/>
      <c r="D86" s="84"/>
      <c r="E86" s="85"/>
      <c r="F86" s="85"/>
      <c r="G86" s="86" t="str">
        <f t="shared" si="1"/>
        <v/>
      </c>
      <c r="H86" s="11"/>
    </row>
    <row r="87" ht="14.25" hidden="1" customHeight="1">
      <c r="A87" s="70">
        <v>29.0</v>
      </c>
      <c r="B87" s="82"/>
      <c r="C87" s="83"/>
      <c r="D87" s="84"/>
      <c r="E87" s="85"/>
      <c r="F87" s="85"/>
      <c r="G87" s="86" t="str">
        <f t="shared" si="1"/>
        <v/>
      </c>
      <c r="H87" s="11"/>
    </row>
    <row r="88" ht="14.25" hidden="1" customHeight="1">
      <c r="A88" s="70">
        <v>30.0</v>
      </c>
      <c r="B88" s="82"/>
      <c r="C88" s="83"/>
      <c r="D88" s="84"/>
      <c r="E88" s="85"/>
      <c r="F88" s="85"/>
      <c r="G88" s="86" t="str">
        <f t="shared" si="1"/>
        <v/>
      </c>
      <c r="H88" s="11"/>
    </row>
    <row r="89" ht="14.25" hidden="1" customHeight="1">
      <c r="A89" s="70">
        <v>31.0</v>
      </c>
      <c r="B89" s="82"/>
      <c r="C89" s="83"/>
      <c r="D89" s="84"/>
      <c r="E89" s="85"/>
      <c r="F89" s="85"/>
      <c r="G89" s="86" t="str">
        <f t="shared" si="1"/>
        <v/>
      </c>
      <c r="H89" s="11"/>
    </row>
    <row r="90" ht="14.25" hidden="1" customHeight="1">
      <c r="A90" s="70">
        <v>32.0</v>
      </c>
      <c r="B90" s="87"/>
      <c r="C90" s="88"/>
      <c r="D90" s="89"/>
      <c r="E90" s="11"/>
      <c r="F90" s="11"/>
      <c r="G90" s="86" t="str">
        <f t="shared" si="1"/>
        <v/>
      </c>
      <c r="H90" s="11"/>
    </row>
    <row r="91" ht="14.25" customHeight="1">
      <c r="A91" s="1"/>
      <c r="B91" s="1"/>
      <c r="C91" s="1"/>
      <c r="D91" s="1"/>
      <c r="E91" s="1"/>
      <c r="F91" s="1"/>
      <c r="G91" s="44"/>
      <c r="H91" s="1"/>
    </row>
    <row r="92" ht="14.25" customHeight="1">
      <c r="A92" s="1"/>
      <c r="B92" s="1"/>
      <c r="C92" s="1"/>
      <c r="D92" s="1"/>
      <c r="E92" s="1"/>
      <c r="F92" s="1"/>
      <c r="G92" s="44"/>
      <c r="H92" s="1"/>
    </row>
    <row r="93" ht="14.25" customHeight="1">
      <c r="A93" s="1"/>
      <c r="B93" s="1"/>
      <c r="C93" s="1"/>
      <c r="D93" s="1"/>
      <c r="E93" s="1"/>
      <c r="F93" s="1"/>
      <c r="G93" s="44"/>
      <c r="H93" s="1"/>
    </row>
    <row r="94" ht="14.25" customHeight="1">
      <c r="A94" s="1"/>
      <c r="B94" s="1"/>
      <c r="C94" s="1"/>
      <c r="D94" s="1"/>
      <c r="E94" s="1"/>
      <c r="F94" s="1"/>
      <c r="G94" s="44"/>
      <c r="H94" s="1"/>
    </row>
    <row r="95" ht="14.25" customHeight="1">
      <c r="A95" s="1"/>
      <c r="B95" s="1"/>
      <c r="C95" s="1"/>
      <c r="D95" s="1"/>
      <c r="E95" s="1"/>
      <c r="F95" s="1"/>
      <c r="G95" s="44"/>
      <c r="H95" s="1"/>
    </row>
    <row r="96" ht="14.25" customHeight="1">
      <c r="A96" s="1"/>
      <c r="B96" s="1"/>
      <c r="C96" s="1"/>
      <c r="D96" s="1"/>
      <c r="E96" s="1"/>
      <c r="F96" s="1"/>
      <c r="G96" s="44"/>
      <c r="H96" s="1"/>
    </row>
    <row r="97" ht="14.25" customHeight="1">
      <c r="A97" s="1"/>
      <c r="B97" s="1"/>
      <c r="C97" s="1"/>
      <c r="D97" s="1"/>
      <c r="E97" s="1"/>
      <c r="F97" s="1"/>
      <c r="G97" s="44"/>
      <c r="H97" s="1"/>
    </row>
    <row r="98" ht="14.25" customHeight="1">
      <c r="A98" s="1"/>
      <c r="B98" s="1"/>
      <c r="C98" s="1"/>
      <c r="D98" s="1"/>
      <c r="E98" s="1"/>
      <c r="F98" s="1"/>
      <c r="G98" s="44"/>
      <c r="H98" s="1"/>
    </row>
    <row r="99" ht="14.25" customHeight="1">
      <c r="A99" s="1"/>
      <c r="B99" s="1"/>
      <c r="C99" s="1"/>
      <c r="D99" s="1"/>
      <c r="E99" s="1"/>
      <c r="F99" s="1"/>
      <c r="G99" s="44"/>
      <c r="H99" s="1"/>
    </row>
    <row r="100" ht="14.25" customHeight="1">
      <c r="A100" s="1"/>
      <c r="B100" s="1"/>
      <c r="C100" s="1"/>
      <c r="D100" s="1"/>
      <c r="E100" s="1"/>
      <c r="F100" s="1"/>
      <c r="G100" s="44"/>
      <c r="H100" s="1"/>
    </row>
    <row r="101" ht="14.25" customHeight="1">
      <c r="A101" s="1"/>
      <c r="B101" s="1"/>
      <c r="C101" s="1"/>
      <c r="D101" s="1"/>
      <c r="E101" s="1"/>
      <c r="F101" s="1"/>
      <c r="G101" s="44"/>
      <c r="H101" s="1"/>
    </row>
    <row r="102" ht="14.25" customHeight="1">
      <c r="A102" s="1"/>
      <c r="B102" s="1"/>
      <c r="C102" s="1"/>
      <c r="D102" s="1"/>
      <c r="E102" s="1"/>
      <c r="F102" s="1"/>
      <c r="G102" s="44"/>
      <c r="H102" s="1"/>
    </row>
    <row r="103" ht="14.25" customHeight="1">
      <c r="A103" s="1"/>
      <c r="B103" s="1"/>
      <c r="C103" s="1"/>
      <c r="D103" s="1"/>
      <c r="E103" s="1"/>
      <c r="F103" s="1"/>
      <c r="G103" s="44"/>
      <c r="H103" s="1"/>
    </row>
    <row r="104" ht="14.25" customHeight="1">
      <c r="A104" s="1"/>
      <c r="B104" s="1"/>
      <c r="C104" s="1"/>
      <c r="D104" s="1"/>
      <c r="E104" s="1"/>
      <c r="F104" s="1"/>
      <c r="G104" s="44"/>
      <c r="H104" s="1"/>
    </row>
    <row r="105" ht="14.25" customHeight="1">
      <c r="A105" s="1"/>
      <c r="B105" s="1"/>
      <c r="C105" s="1"/>
      <c r="D105" s="1"/>
      <c r="E105" s="1"/>
      <c r="F105" s="1"/>
      <c r="G105" s="44"/>
      <c r="H105" s="1"/>
    </row>
    <row r="106" ht="14.25" customHeight="1">
      <c r="A106" s="1"/>
      <c r="B106" s="1"/>
      <c r="C106" s="1"/>
      <c r="D106" s="1"/>
      <c r="E106" s="1"/>
      <c r="F106" s="1"/>
      <c r="G106" s="44"/>
      <c r="H106" s="1"/>
    </row>
    <row r="107" ht="14.25" customHeight="1">
      <c r="A107" s="1"/>
      <c r="B107" s="1"/>
      <c r="C107" s="1"/>
      <c r="D107" s="1"/>
      <c r="E107" s="1"/>
      <c r="F107" s="1"/>
      <c r="G107" s="44"/>
      <c r="H107" s="1"/>
    </row>
    <row r="108" ht="14.25" customHeight="1">
      <c r="A108" s="1"/>
      <c r="B108" s="1"/>
      <c r="C108" s="1"/>
      <c r="D108" s="1"/>
      <c r="E108" s="1"/>
      <c r="F108" s="1"/>
      <c r="G108" s="44"/>
      <c r="H108" s="1"/>
    </row>
    <row r="109" ht="14.25" customHeight="1">
      <c r="A109" s="1"/>
      <c r="B109" s="1"/>
      <c r="C109" s="1"/>
      <c r="D109" s="1"/>
      <c r="E109" s="1"/>
      <c r="F109" s="1"/>
      <c r="G109" s="44"/>
      <c r="H109" s="1"/>
    </row>
    <row r="110" ht="14.25" customHeight="1">
      <c r="A110" s="1"/>
      <c r="B110" s="1"/>
      <c r="C110" s="1"/>
      <c r="D110" s="1"/>
      <c r="E110" s="1"/>
      <c r="F110" s="1"/>
      <c r="G110" s="44"/>
      <c r="H110" s="1"/>
    </row>
    <row r="111" ht="14.25" customHeight="1">
      <c r="A111" s="1"/>
      <c r="B111" s="1"/>
      <c r="C111" s="1"/>
      <c r="D111" s="1"/>
      <c r="E111" s="1"/>
      <c r="F111" s="1"/>
      <c r="G111" s="44"/>
      <c r="H111" s="1"/>
    </row>
    <row r="112" ht="14.25" customHeight="1">
      <c r="A112" s="1"/>
      <c r="B112" s="1"/>
      <c r="C112" s="1"/>
      <c r="D112" s="1"/>
      <c r="E112" s="1"/>
      <c r="F112" s="1"/>
      <c r="G112" s="44"/>
      <c r="H112" s="1"/>
    </row>
    <row r="113" ht="14.25" customHeight="1">
      <c r="A113" s="1"/>
      <c r="B113" s="1"/>
      <c r="C113" s="1"/>
      <c r="D113" s="1"/>
      <c r="E113" s="1"/>
      <c r="F113" s="1"/>
      <c r="G113" s="44"/>
      <c r="H113" s="1"/>
    </row>
    <row r="114" ht="14.25" customHeight="1">
      <c r="A114" s="1"/>
      <c r="B114" s="1"/>
      <c r="C114" s="1"/>
      <c r="D114" s="1"/>
      <c r="E114" s="1"/>
      <c r="F114" s="1"/>
      <c r="G114" s="44"/>
      <c r="H114" s="1"/>
    </row>
    <row r="115" ht="14.25" customHeight="1">
      <c r="A115" s="1"/>
      <c r="B115" s="1"/>
      <c r="C115" s="1"/>
      <c r="D115" s="1"/>
      <c r="E115" s="1"/>
      <c r="F115" s="1"/>
      <c r="G115" s="44"/>
      <c r="H115" s="1"/>
    </row>
    <row r="116" ht="14.25" customHeight="1">
      <c r="A116" s="1"/>
      <c r="B116" s="1"/>
      <c r="C116" s="1"/>
      <c r="D116" s="1"/>
      <c r="E116" s="1"/>
      <c r="F116" s="1"/>
      <c r="G116" s="44"/>
      <c r="H116" s="1"/>
    </row>
    <row r="117" ht="14.25" customHeight="1">
      <c r="A117" s="1"/>
      <c r="B117" s="1"/>
      <c r="C117" s="1"/>
      <c r="D117" s="1"/>
      <c r="E117" s="1"/>
      <c r="F117" s="1"/>
      <c r="G117" s="44"/>
      <c r="H117" s="1"/>
    </row>
    <row r="118" ht="14.25" customHeight="1">
      <c r="A118" s="1"/>
      <c r="B118" s="1"/>
      <c r="C118" s="1"/>
      <c r="D118" s="1"/>
      <c r="E118" s="1"/>
      <c r="F118" s="1"/>
      <c r="G118" s="44"/>
      <c r="H118" s="1"/>
    </row>
    <row r="119" ht="14.25" customHeight="1">
      <c r="A119" s="1"/>
      <c r="B119" s="1"/>
      <c r="C119" s="1"/>
      <c r="D119" s="1"/>
      <c r="E119" s="1"/>
      <c r="F119" s="1"/>
      <c r="G119" s="44"/>
      <c r="H119" s="1"/>
    </row>
    <row r="120" ht="14.25" customHeight="1">
      <c r="A120" s="1"/>
      <c r="B120" s="1"/>
      <c r="C120" s="1"/>
      <c r="D120" s="1"/>
      <c r="E120" s="1"/>
      <c r="F120" s="1"/>
      <c r="G120" s="44"/>
      <c r="H120" s="1"/>
    </row>
    <row r="121" ht="14.25" customHeight="1">
      <c r="A121" s="1"/>
      <c r="B121" s="1"/>
      <c r="C121" s="1"/>
      <c r="D121" s="1"/>
      <c r="E121" s="1"/>
      <c r="F121" s="1"/>
      <c r="G121" s="44"/>
      <c r="H121" s="1"/>
    </row>
    <row r="122" ht="14.25" customHeight="1">
      <c r="A122" s="1"/>
      <c r="B122" s="1"/>
      <c r="C122" s="1"/>
      <c r="D122" s="1"/>
      <c r="E122" s="1"/>
      <c r="F122" s="1"/>
      <c r="G122" s="44"/>
      <c r="H122" s="1"/>
    </row>
    <row r="123" ht="14.25" customHeight="1">
      <c r="A123" s="1"/>
      <c r="B123" s="1"/>
      <c r="C123" s="1"/>
      <c r="D123" s="1"/>
      <c r="E123" s="1"/>
      <c r="F123" s="1"/>
      <c r="G123" s="44"/>
      <c r="H123" s="1"/>
    </row>
    <row r="124" ht="14.25" customHeight="1">
      <c r="A124" s="1"/>
      <c r="B124" s="1"/>
      <c r="C124" s="1"/>
      <c r="D124" s="1"/>
      <c r="E124" s="1"/>
      <c r="F124" s="1"/>
      <c r="G124" s="44"/>
      <c r="H124" s="1"/>
    </row>
    <row r="125" ht="14.25" customHeight="1">
      <c r="A125" s="1"/>
      <c r="B125" s="1"/>
      <c r="C125" s="1"/>
      <c r="D125" s="1"/>
      <c r="E125" s="1"/>
      <c r="F125" s="1"/>
      <c r="G125" s="44"/>
      <c r="H125" s="1"/>
    </row>
    <row r="126" ht="14.25" customHeight="1">
      <c r="A126" s="1"/>
      <c r="B126" s="1"/>
      <c r="C126" s="1"/>
      <c r="D126" s="1"/>
      <c r="E126" s="1"/>
      <c r="F126" s="1"/>
      <c r="G126" s="44"/>
      <c r="H126" s="1"/>
    </row>
    <row r="127" ht="14.25" customHeight="1">
      <c r="A127" s="1"/>
      <c r="B127" s="1"/>
      <c r="C127" s="1"/>
      <c r="D127" s="1"/>
      <c r="E127" s="1"/>
      <c r="F127" s="1"/>
      <c r="G127" s="44"/>
      <c r="H127" s="1"/>
    </row>
    <row r="128" ht="14.25" customHeight="1">
      <c r="A128" s="1"/>
      <c r="B128" s="1"/>
      <c r="C128" s="1"/>
      <c r="D128" s="1"/>
      <c r="E128" s="1"/>
      <c r="F128" s="1"/>
      <c r="G128" s="44"/>
      <c r="H128" s="1"/>
    </row>
    <row r="129" ht="14.25" customHeight="1">
      <c r="A129" s="1"/>
      <c r="B129" s="1"/>
      <c r="C129" s="1"/>
      <c r="D129" s="1"/>
      <c r="E129" s="1"/>
      <c r="F129" s="1"/>
      <c r="G129" s="44"/>
      <c r="H129" s="1"/>
    </row>
    <row r="130" ht="14.25" customHeight="1">
      <c r="A130" s="1"/>
      <c r="B130" s="1"/>
      <c r="C130" s="1"/>
      <c r="D130" s="1"/>
      <c r="E130" s="1"/>
      <c r="F130" s="1"/>
      <c r="G130" s="44"/>
      <c r="H130" s="1"/>
    </row>
    <row r="131" ht="14.25" customHeight="1">
      <c r="A131" s="1"/>
      <c r="B131" s="1"/>
      <c r="C131" s="1"/>
      <c r="D131" s="1"/>
      <c r="E131" s="1"/>
      <c r="F131" s="1"/>
      <c r="G131" s="44"/>
      <c r="H131" s="1"/>
    </row>
    <row r="132" ht="14.25" customHeight="1">
      <c r="A132" s="1"/>
      <c r="B132" s="1"/>
      <c r="C132" s="1"/>
      <c r="D132" s="1"/>
      <c r="E132" s="1"/>
      <c r="F132" s="1"/>
      <c r="G132" s="44"/>
      <c r="H132" s="1"/>
    </row>
    <row r="133" ht="14.25" customHeight="1">
      <c r="A133" s="1"/>
      <c r="B133" s="1"/>
      <c r="C133" s="1"/>
      <c r="D133" s="1"/>
      <c r="E133" s="1"/>
      <c r="F133" s="1"/>
      <c r="G133" s="44"/>
      <c r="H133" s="1"/>
    </row>
    <row r="134" ht="14.25" customHeight="1">
      <c r="A134" s="1"/>
      <c r="B134" s="1"/>
      <c r="C134" s="1"/>
      <c r="D134" s="1"/>
      <c r="E134" s="1"/>
      <c r="F134" s="1"/>
      <c r="G134" s="44"/>
      <c r="H134" s="1"/>
    </row>
    <row r="135" ht="14.25" customHeight="1">
      <c r="A135" s="1"/>
      <c r="B135" s="1"/>
      <c r="C135" s="1"/>
      <c r="D135" s="1"/>
      <c r="E135" s="1"/>
      <c r="F135" s="1"/>
      <c r="G135" s="44"/>
      <c r="H135" s="1"/>
    </row>
    <row r="136" ht="14.25" customHeight="1">
      <c r="A136" s="1"/>
      <c r="B136" s="1"/>
      <c r="C136" s="1"/>
      <c r="D136" s="1"/>
      <c r="E136" s="1"/>
      <c r="F136" s="1"/>
      <c r="G136" s="44"/>
      <c r="H136" s="1"/>
    </row>
    <row r="137" ht="14.25" customHeight="1">
      <c r="A137" s="1"/>
      <c r="B137" s="1"/>
      <c r="C137" s="1"/>
      <c r="D137" s="1"/>
      <c r="E137" s="1"/>
      <c r="F137" s="1"/>
      <c r="G137" s="44"/>
      <c r="H137" s="1"/>
    </row>
    <row r="138" ht="14.25" customHeight="1">
      <c r="A138" s="1"/>
      <c r="B138" s="1"/>
      <c r="C138" s="1"/>
      <c r="D138" s="1"/>
      <c r="E138" s="1"/>
      <c r="F138" s="1"/>
      <c r="G138" s="44"/>
      <c r="H138" s="1"/>
    </row>
    <row r="139" ht="14.25" customHeight="1">
      <c r="A139" s="1"/>
      <c r="B139" s="1"/>
      <c r="C139" s="1"/>
      <c r="D139" s="1"/>
      <c r="E139" s="1"/>
      <c r="F139" s="1"/>
      <c r="G139" s="44"/>
      <c r="H139" s="1"/>
    </row>
    <row r="140" ht="14.25" customHeight="1">
      <c r="A140" s="1"/>
      <c r="B140" s="1"/>
      <c r="C140" s="1"/>
      <c r="D140" s="1"/>
      <c r="E140" s="1"/>
      <c r="F140" s="1"/>
      <c r="G140" s="44"/>
      <c r="H140" s="1"/>
    </row>
    <row r="141" ht="14.25" customHeight="1">
      <c r="A141" s="1"/>
      <c r="B141" s="1"/>
      <c r="C141" s="1"/>
      <c r="D141" s="1"/>
      <c r="E141" s="1"/>
      <c r="F141" s="1"/>
      <c r="G141" s="44"/>
      <c r="H141" s="1"/>
    </row>
    <row r="142" ht="14.25" customHeight="1">
      <c r="A142" s="1"/>
      <c r="B142" s="1"/>
      <c r="C142" s="1"/>
      <c r="D142" s="1"/>
      <c r="E142" s="1"/>
      <c r="F142" s="1"/>
      <c r="G142" s="44"/>
      <c r="H142" s="1"/>
    </row>
    <row r="143" ht="14.25" customHeight="1">
      <c r="A143" s="1"/>
      <c r="B143" s="1"/>
      <c r="C143" s="1"/>
      <c r="D143" s="1"/>
      <c r="E143" s="1"/>
      <c r="F143" s="1"/>
      <c r="G143" s="44"/>
      <c r="H143" s="1"/>
    </row>
    <row r="144" ht="14.25" customHeight="1">
      <c r="A144" s="1"/>
      <c r="B144" s="1"/>
      <c r="C144" s="1"/>
      <c r="D144" s="1"/>
      <c r="E144" s="1"/>
      <c r="F144" s="1"/>
      <c r="G144" s="44"/>
      <c r="H144" s="1"/>
    </row>
    <row r="145" ht="14.25" customHeight="1">
      <c r="A145" s="1"/>
      <c r="B145" s="1"/>
      <c r="C145" s="1"/>
      <c r="D145" s="1"/>
      <c r="E145" s="1"/>
      <c r="F145" s="1"/>
      <c r="G145" s="44"/>
      <c r="H145" s="1"/>
    </row>
    <row r="146" ht="14.25" customHeight="1">
      <c r="A146" s="1"/>
      <c r="B146" s="1"/>
      <c r="C146" s="1"/>
      <c r="D146" s="1"/>
      <c r="E146" s="1"/>
      <c r="F146" s="1"/>
      <c r="G146" s="44"/>
      <c r="H146" s="1"/>
    </row>
    <row r="147" ht="14.25" customHeight="1">
      <c r="A147" s="1"/>
      <c r="B147" s="1"/>
      <c r="C147" s="1"/>
      <c r="D147" s="1"/>
      <c r="E147" s="1"/>
      <c r="F147" s="1"/>
      <c r="G147" s="44"/>
      <c r="H147" s="1"/>
    </row>
    <row r="148" ht="14.25" customHeight="1">
      <c r="A148" s="1"/>
      <c r="B148" s="1"/>
      <c r="C148" s="1"/>
      <c r="D148" s="1"/>
      <c r="E148" s="1"/>
      <c r="F148" s="1"/>
      <c r="G148" s="44"/>
      <c r="H148" s="1"/>
    </row>
    <row r="149" ht="14.25" customHeight="1">
      <c r="A149" s="1"/>
      <c r="B149" s="1"/>
      <c r="C149" s="1"/>
      <c r="D149" s="1"/>
      <c r="E149" s="1"/>
      <c r="F149" s="1"/>
      <c r="G149" s="44"/>
      <c r="H149" s="1"/>
    </row>
    <row r="150" ht="14.25" customHeight="1">
      <c r="A150" s="1"/>
      <c r="B150" s="1"/>
      <c r="C150" s="1"/>
      <c r="D150" s="1"/>
      <c r="E150" s="1"/>
      <c r="F150" s="1"/>
      <c r="G150" s="44"/>
      <c r="H150" s="1"/>
    </row>
    <row r="151" ht="14.25" customHeight="1">
      <c r="A151" s="1"/>
      <c r="B151" s="1"/>
      <c r="C151" s="1"/>
      <c r="D151" s="1"/>
      <c r="E151" s="1"/>
      <c r="F151" s="1"/>
      <c r="G151" s="44"/>
      <c r="H151" s="1"/>
    </row>
    <row r="152" ht="14.25" customHeight="1">
      <c r="A152" s="1"/>
      <c r="B152" s="1"/>
      <c r="C152" s="1"/>
      <c r="D152" s="1"/>
      <c r="E152" s="1"/>
      <c r="F152" s="1"/>
      <c r="G152" s="44"/>
      <c r="H152" s="1"/>
    </row>
    <row r="153" ht="14.25" customHeight="1">
      <c r="A153" s="1"/>
      <c r="B153" s="1"/>
      <c r="C153" s="1"/>
      <c r="D153" s="1"/>
      <c r="E153" s="1"/>
      <c r="F153" s="1"/>
      <c r="G153" s="44"/>
      <c r="H153" s="1"/>
    </row>
    <row r="154" ht="14.25" customHeight="1">
      <c r="A154" s="1"/>
      <c r="B154" s="1"/>
      <c r="C154" s="1"/>
      <c r="D154" s="1"/>
      <c r="E154" s="1"/>
      <c r="F154" s="1"/>
      <c r="G154" s="44"/>
      <c r="H154" s="1"/>
    </row>
    <row r="155" ht="14.25" customHeight="1">
      <c r="A155" s="1"/>
      <c r="B155" s="1"/>
      <c r="C155" s="1"/>
      <c r="D155" s="1"/>
      <c r="E155" s="1"/>
      <c r="F155" s="1"/>
      <c r="G155" s="44"/>
      <c r="H155" s="1"/>
    </row>
    <row r="156" ht="14.25" customHeight="1">
      <c r="A156" s="1"/>
      <c r="B156" s="1"/>
      <c r="C156" s="1"/>
      <c r="D156" s="1"/>
      <c r="E156" s="1"/>
      <c r="F156" s="1"/>
      <c r="G156" s="44"/>
      <c r="H156" s="1"/>
    </row>
    <row r="157" ht="14.25" customHeight="1">
      <c r="A157" s="1"/>
      <c r="B157" s="1"/>
      <c r="C157" s="1"/>
      <c r="D157" s="1"/>
      <c r="E157" s="1"/>
      <c r="F157" s="1"/>
      <c r="G157" s="44"/>
      <c r="H157" s="1"/>
    </row>
    <row r="158" ht="14.25" customHeight="1">
      <c r="A158" s="1"/>
      <c r="B158" s="1"/>
      <c r="C158" s="1"/>
      <c r="D158" s="1"/>
      <c r="E158" s="1"/>
      <c r="F158" s="1"/>
      <c r="G158" s="44"/>
      <c r="H158" s="1"/>
    </row>
    <row r="159" ht="14.25" customHeight="1">
      <c r="A159" s="1"/>
      <c r="B159" s="1"/>
      <c r="C159" s="1"/>
      <c r="D159" s="1"/>
      <c r="E159" s="1"/>
      <c r="F159" s="1"/>
      <c r="G159" s="44"/>
      <c r="H159" s="1"/>
    </row>
    <row r="160" ht="14.25" customHeight="1">
      <c r="A160" s="1"/>
      <c r="B160" s="1"/>
      <c r="C160" s="1"/>
      <c r="D160" s="1"/>
      <c r="E160" s="1"/>
      <c r="F160" s="1"/>
      <c r="G160" s="44"/>
      <c r="H160" s="1"/>
    </row>
    <row r="161" ht="14.25" customHeight="1">
      <c r="A161" s="1"/>
      <c r="B161" s="1"/>
      <c r="C161" s="1"/>
      <c r="D161" s="1"/>
      <c r="E161" s="1"/>
      <c r="F161" s="1"/>
      <c r="G161" s="44"/>
      <c r="H161" s="1"/>
    </row>
    <row r="162" ht="14.25" customHeight="1">
      <c r="A162" s="1"/>
      <c r="B162" s="1"/>
      <c r="C162" s="1"/>
      <c r="D162" s="1"/>
      <c r="E162" s="1"/>
      <c r="F162" s="1"/>
      <c r="G162" s="44"/>
      <c r="H162" s="1"/>
    </row>
    <row r="163" ht="14.25" customHeight="1">
      <c r="A163" s="1"/>
      <c r="B163" s="1"/>
      <c r="C163" s="1"/>
      <c r="D163" s="1"/>
      <c r="E163" s="1"/>
      <c r="F163" s="1"/>
      <c r="G163" s="44"/>
      <c r="H163" s="1"/>
    </row>
    <row r="164" ht="14.25" customHeight="1">
      <c r="A164" s="1"/>
      <c r="B164" s="1"/>
      <c r="C164" s="1"/>
      <c r="D164" s="1"/>
      <c r="E164" s="1"/>
      <c r="F164" s="1"/>
      <c r="G164" s="44"/>
      <c r="H164" s="1"/>
    </row>
    <row r="165" ht="14.25" customHeight="1">
      <c r="A165" s="1"/>
      <c r="B165" s="1"/>
      <c r="C165" s="1"/>
      <c r="D165" s="1"/>
      <c r="E165" s="1"/>
      <c r="F165" s="1"/>
      <c r="G165" s="44"/>
      <c r="H165" s="1"/>
    </row>
    <row r="166" ht="14.25" customHeight="1">
      <c r="A166" s="1"/>
      <c r="B166" s="1"/>
      <c r="C166" s="1"/>
      <c r="D166" s="1"/>
      <c r="E166" s="1"/>
      <c r="F166" s="1"/>
      <c r="G166" s="44"/>
      <c r="H166" s="1"/>
    </row>
    <row r="167" ht="14.25" customHeight="1">
      <c r="A167" s="1"/>
      <c r="B167" s="1"/>
      <c r="C167" s="1"/>
      <c r="D167" s="1"/>
      <c r="E167" s="1"/>
      <c r="F167" s="1"/>
      <c r="G167" s="44"/>
      <c r="H167" s="1"/>
    </row>
    <row r="168" ht="14.25" customHeight="1">
      <c r="A168" s="1"/>
      <c r="B168" s="1"/>
      <c r="C168" s="1"/>
      <c r="D168" s="1"/>
      <c r="E168" s="1"/>
      <c r="F168" s="1"/>
      <c r="G168" s="44"/>
      <c r="H168" s="1"/>
    </row>
    <row r="169" ht="14.25" customHeight="1">
      <c r="A169" s="1"/>
      <c r="B169" s="1"/>
      <c r="C169" s="1"/>
      <c r="D169" s="1"/>
      <c r="E169" s="1"/>
      <c r="F169" s="1"/>
      <c r="G169" s="44"/>
      <c r="H169" s="1"/>
    </row>
    <row r="170" ht="14.25" customHeight="1">
      <c r="A170" s="1"/>
      <c r="B170" s="1"/>
      <c r="C170" s="1"/>
      <c r="D170" s="1"/>
      <c r="E170" s="1"/>
      <c r="F170" s="1"/>
      <c r="G170" s="44"/>
      <c r="H170" s="1"/>
    </row>
    <row r="171" ht="14.25" customHeight="1">
      <c r="A171" s="1"/>
      <c r="B171" s="1"/>
      <c r="C171" s="1"/>
      <c r="D171" s="1"/>
      <c r="E171" s="1"/>
      <c r="F171" s="1"/>
      <c r="G171" s="44"/>
      <c r="H171" s="1"/>
    </row>
    <row r="172" ht="14.25" customHeight="1">
      <c r="A172" s="1"/>
      <c r="B172" s="1"/>
      <c r="C172" s="1"/>
      <c r="D172" s="1"/>
      <c r="E172" s="1"/>
      <c r="F172" s="1"/>
      <c r="G172" s="44"/>
      <c r="H172" s="1"/>
    </row>
    <row r="173" ht="14.25" customHeight="1">
      <c r="A173" s="1"/>
      <c r="B173" s="1"/>
      <c r="C173" s="1"/>
      <c r="D173" s="1"/>
      <c r="E173" s="1"/>
      <c r="F173" s="1"/>
      <c r="G173" s="44"/>
      <c r="H173" s="1"/>
    </row>
    <row r="174" ht="14.25" customHeight="1">
      <c r="A174" s="1"/>
      <c r="B174" s="1"/>
      <c r="C174" s="1"/>
      <c r="D174" s="1"/>
      <c r="E174" s="1"/>
      <c r="F174" s="1"/>
      <c r="G174" s="44"/>
      <c r="H174" s="1"/>
    </row>
    <row r="175" ht="14.25" customHeight="1">
      <c r="A175" s="1"/>
      <c r="B175" s="1"/>
      <c r="C175" s="1"/>
      <c r="D175" s="1"/>
      <c r="E175" s="1"/>
      <c r="F175" s="1"/>
      <c r="G175" s="44"/>
      <c r="H175" s="1"/>
    </row>
    <row r="176" ht="14.25" customHeight="1">
      <c r="A176" s="1"/>
      <c r="B176" s="1"/>
      <c r="C176" s="1"/>
      <c r="D176" s="1"/>
      <c r="E176" s="1"/>
      <c r="F176" s="1"/>
      <c r="G176" s="44"/>
      <c r="H176" s="1"/>
    </row>
    <row r="177" ht="14.25" customHeight="1">
      <c r="A177" s="1"/>
      <c r="B177" s="1"/>
      <c r="C177" s="1"/>
      <c r="D177" s="1"/>
      <c r="E177" s="1"/>
      <c r="F177" s="1"/>
      <c r="G177" s="44"/>
      <c r="H177" s="1"/>
    </row>
    <row r="178" ht="14.25" customHeight="1">
      <c r="A178" s="1"/>
      <c r="B178" s="1"/>
      <c r="C178" s="1"/>
      <c r="D178" s="1"/>
      <c r="E178" s="1"/>
      <c r="F178" s="1"/>
      <c r="G178" s="44"/>
      <c r="H178" s="1"/>
    </row>
    <row r="179" ht="14.25" customHeight="1">
      <c r="A179" s="1"/>
      <c r="B179" s="1"/>
      <c r="C179" s="1"/>
      <c r="D179" s="1"/>
      <c r="E179" s="1"/>
      <c r="F179" s="1"/>
      <c r="G179" s="44"/>
      <c r="H179" s="1"/>
    </row>
    <row r="180" ht="14.25" customHeight="1">
      <c r="A180" s="1"/>
      <c r="B180" s="1"/>
      <c r="C180" s="1"/>
      <c r="D180" s="1"/>
      <c r="E180" s="1"/>
      <c r="F180" s="1"/>
      <c r="G180" s="44"/>
      <c r="H180" s="1"/>
    </row>
    <row r="181" ht="14.25" customHeight="1">
      <c r="A181" s="1"/>
      <c r="B181" s="1"/>
      <c r="C181" s="1"/>
      <c r="D181" s="1"/>
      <c r="E181" s="1"/>
      <c r="F181" s="1"/>
      <c r="G181" s="44"/>
      <c r="H181" s="1"/>
    </row>
    <row r="182" ht="14.25" customHeight="1">
      <c r="A182" s="1"/>
      <c r="B182" s="1"/>
      <c r="C182" s="1"/>
      <c r="D182" s="1"/>
      <c r="E182" s="1"/>
      <c r="F182" s="1"/>
      <c r="G182" s="44"/>
      <c r="H182" s="1"/>
    </row>
    <row r="183" ht="14.25" customHeight="1">
      <c r="A183" s="1"/>
      <c r="B183" s="1"/>
      <c r="C183" s="1"/>
      <c r="D183" s="1"/>
      <c r="E183" s="1"/>
      <c r="F183" s="1"/>
      <c r="G183" s="44"/>
      <c r="H183" s="1"/>
    </row>
    <row r="184" ht="14.25" customHeight="1">
      <c r="A184" s="1"/>
      <c r="B184" s="1"/>
      <c r="C184" s="1"/>
      <c r="D184" s="1"/>
      <c r="E184" s="1"/>
      <c r="F184" s="1"/>
      <c r="G184" s="44"/>
      <c r="H184" s="1"/>
    </row>
    <row r="185" ht="14.25" customHeight="1">
      <c r="A185" s="1"/>
      <c r="B185" s="1"/>
      <c r="C185" s="1"/>
      <c r="D185" s="1"/>
      <c r="E185" s="1"/>
      <c r="F185" s="1"/>
      <c r="G185" s="44"/>
      <c r="H185" s="1"/>
    </row>
    <row r="186" ht="14.25" customHeight="1">
      <c r="A186" s="1"/>
      <c r="B186" s="1"/>
      <c r="C186" s="1"/>
      <c r="D186" s="1"/>
      <c r="E186" s="1"/>
      <c r="F186" s="1"/>
      <c r="G186" s="44"/>
      <c r="H186" s="1"/>
    </row>
    <row r="187" ht="14.25" customHeight="1">
      <c r="A187" s="1"/>
      <c r="B187" s="1"/>
      <c r="C187" s="1"/>
      <c r="D187" s="1"/>
      <c r="E187" s="1"/>
      <c r="F187" s="1"/>
      <c r="G187" s="44"/>
      <c r="H187" s="1"/>
    </row>
    <row r="188" ht="14.25" customHeight="1">
      <c r="A188" s="1"/>
      <c r="B188" s="1"/>
      <c r="C188" s="1"/>
      <c r="D188" s="1"/>
      <c r="E188" s="1"/>
      <c r="F188" s="1"/>
      <c r="G188" s="44"/>
      <c r="H188" s="1"/>
    </row>
    <row r="189" ht="14.25" customHeight="1">
      <c r="A189" s="1"/>
      <c r="B189" s="1"/>
      <c r="C189" s="1"/>
      <c r="D189" s="1"/>
      <c r="E189" s="1"/>
      <c r="F189" s="1"/>
      <c r="G189" s="44"/>
      <c r="H189" s="1"/>
    </row>
    <row r="190" ht="14.25" customHeight="1">
      <c r="A190" s="1"/>
      <c r="B190" s="1"/>
      <c r="C190" s="1"/>
      <c r="D190" s="1"/>
      <c r="E190" s="1"/>
      <c r="F190" s="1"/>
      <c r="G190" s="44"/>
      <c r="H190" s="1"/>
    </row>
    <row r="191" ht="14.25" customHeight="1">
      <c r="A191" s="1"/>
      <c r="B191" s="1"/>
      <c r="C191" s="1"/>
      <c r="D191" s="1"/>
      <c r="E191" s="1"/>
      <c r="F191" s="1"/>
      <c r="G191" s="44"/>
      <c r="H191" s="1"/>
    </row>
    <row r="192" ht="14.25" customHeight="1">
      <c r="A192" s="1"/>
      <c r="B192" s="1"/>
      <c r="C192" s="1"/>
      <c r="D192" s="1"/>
      <c r="E192" s="1"/>
      <c r="F192" s="1"/>
      <c r="G192" s="44"/>
      <c r="H192" s="1"/>
    </row>
    <row r="193" ht="14.25" customHeight="1">
      <c r="A193" s="1"/>
      <c r="B193" s="1"/>
      <c r="C193" s="1"/>
      <c r="D193" s="1"/>
      <c r="E193" s="1"/>
      <c r="F193" s="1"/>
      <c r="G193" s="44"/>
      <c r="H193" s="1"/>
    </row>
    <row r="194" ht="14.25" customHeight="1">
      <c r="A194" s="1"/>
      <c r="B194" s="1"/>
      <c r="C194" s="1"/>
      <c r="D194" s="1"/>
      <c r="E194" s="1"/>
      <c r="F194" s="1"/>
      <c r="G194" s="44"/>
      <c r="H194" s="1"/>
    </row>
    <row r="195" ht="14.25" customHeight="1">
      <c r="A195" s="1"/>
      <c r="B195" s="1"/>
      <c r="C195" s="1"/>
      <c r="D195" s="1"/>
      <c r="E195" s="1"/>
      <c r="F195" s="1"/>
      <c r="G195" s="44"/>
      <c r="H195" s="1"/>
    </row>
    <row r="196" ht="14.25" customHeight="1">
      <c r="A196" s="1"/>
      <c r="B196" s="1"/>
      <c r="C196" s="1"/>
      <c r="D196" s="1"/>
      <c r="E196" s="1"/>
      <c r="F196" s="1"/>
      <c r="G196" s="44"/>
      <c r="H196" s="1"/>
    </row>
    <row r="197" ht="14.25" customHeight="1">
      <c r="A197" s="1"/>
      <c r="B197" s="1"/>
      <c r="C197" s="1"/>
      <c r="D197" s="1"/>
      <c r="E197" s="1"/>
      <c r="F197" s="1"/>
      <c r="G197" s="44"/>
      <c r="H197" s="1"/>
    </row>
    <row r="198" ht="14.25" customHeight="1">
      <c r="A198" s="1"/>
      <c r="B198" s="1"/>
      <c r="C198" s="1"/>
      <c r="D198" s="1"/>
      <c r="E198" s="1"/>
      <c r="F198" s="1"/>
      <c r="G198" s="44"/>
      <c r="H198" s="1"/>
    </row>
    <row r="199" ht="14.25" customHeight="1">
      <c r="A199" s="1"/>
      <c r="B199" s="1"/>
      <c r="C199" s="1"/>
      <c r="D199" s="1"/>
      <c r="E199" s="1"/>
      <c r="F199" s="1"/>
      <c r="G199" s="44"/>
      <c r="H199" s="1"/>
    </row>
    <row r="200" ht="14.25" customHeight="1">
      <c r="A200" s="1"/>
      <c r="B200" s="1"/>
      <c r="C200" s="1"/>
      <c r="D200" s="1"/>
      <c r="E200" s="1"/>
      <c r="F200" s="1"/>
      <c r="G200" s="44"/>
      <c r="H200" s="1"/>
    </row>
    <row r="201" ht="14.25" customHeight="1">
      <c r="A201" s="1"/>
      <c r="B201" s="1"/>
      <c r="C201" s="1"/>
      <c r="D201" s="1"/>
      <c r="E201" s="1"/>
      <c r="F201" s="1"/>
      <c r="G201" s="44"/>
      <c r="H201" s="1"/>
    </row>
    <row r="202" ht="14.25" customHeight="1">
      <c r="A202" s="1"/>
      <c r="B202" s="1"/>
      <c r="C202" s="1"/>
      <c r="D202" s="1"/>
      <c r="E202" s="1"/>
      <c r="F202" s="1"/>
      <c r="G202" s="44"/>
      <c r="H202" s="1"/>
    </row>
    <row r="203" ht="14.25" customHeight="1">
      <c r="A203" s="1"/>
      <c r="B203" s="1"/>
      <c r="C203" s="1"/>
      <c r="D203" s="1"/>
      <c r="E203" s="1"/>
      <c r="F203" s="1"/>
      <c r="G203" s="44"/>
      <c r="H203" s="1"/>
    </row>
    <row r="204" ht="14.25" customHeight="1">
      <c r="A204" s="1"/>
      <c r="B204" s="1"/>
      <c r="C204" s="1"/>
      <c r="D204" s="1"/>
      <c r="E204" s="1"/>
      <c r="F204" s="1"/>
      <c r="G204" s="44"/>
      <c r="H204" s="1"/>
    </row>
    <row r="205" ht="14.25" customHeight="1">
      <c r="A205" s="1"/>
      <c r="B205" s="1"/>
      <c r="C205" s="1"/>
      <c r="D205" s="1"/>
      <c r="E205" s="1"/>
      <c r="F205" s="1"/>
      <c r="G205" s="44"/>
      <c r="H205" s="1"/>
    </row>
    <row r="206" ht="14.25" customHeight="1">
      <c r="A206" s="1"/>
      <c r="B206" s="1"/>
      <c r="C206" s="1"/>
      <c r="D206" s="1"/>
      <c r="E206" s="1"/>
      <c r="F206" s="1"/>
      <c r="G206" s="44"/>
      <c r="H206" s="1"/>
    </row>
    <row r="207" ht="14.25" customHeight="1">
      <c r="A207" s="1"/>
      <c r="B207" s="1"/>
      <c r="C207" s="1"/>
      <c r="D207" s="1"/>
      <c r="E207" s="1"/>
      <c r="F207" s="1"/>
      <c r="G207" s="44"/>
      <c r="H207" s="1"/>
    </row>
    <row r="208" ht="14.25" customHeight="1">
      <c r="A208" s="1"/>
      <c r="B208" s="1"/>
      <c r="C208" s="1"/>
      <c r="D208" s="1"/>
      <c r="E208" s="1"/>
      <c r="F208" s="1"/>
      <c r="G208" s="44"/>
      <c r="H208" s="1"/>
    </row>
    <row r="209" ht="14.25" customHeight="1">
      <c r="A209" s="1"/>
      <c r="B209" s="1"/>
      <c r="C209" s="1"/>
      <c r="D209" s="1"/>
      <c r="E209" s="1"/>
      <c r="F209" s="1"/>
      <c r="G209" s="44"/>
      <c r="H209" s="1"/>
    </row>
    <row r="210" ht="14.25" customHeight="1">
      <c r="A210" s="1"/>
      <c r="B210" s="1"/>
      <c r="C210" s="1"/>
      <c r="D210" s="1"/>
      <c r="E210" s="1"/>
      <c r="F210" s="1"/>
      <c r="G210" s="44"/>
      <c r="H210" s="1"/>
    </row>
    <row r="211" ht="14.25" customHeight="1">
      <c r="A211" s="1"/>
      <c r="B211" s="1"/>
      <c r="C211" s="1"/>
      <c r="D211" s="1"/>
      <c r="E211" s="1"/>
      <c r="F211" s="1"/>
      <c r="G211" s="44"/>
      <c r="H211" s="1"/>
    </row>
    <row r="212" ht="14.25" customHeight="1">
      <c r="A212" s="1"/>
      <c r="B212" s="1"/>
      <c r="C212" s="1"/>
      <c r="D212" s="1"/>
      <c r="E212" s="1"/>
      <c r="F212" s="1"/>
      <c r="G212" s="44"/>
      <c r="H212" s="1"/>
    </row>
    <row r="213" ht="14.25" customHeight="1">
      <c r="A213" s="1"/>
      <c r="B213" s="1"/>
      <c r="C213" s="1"/>
      <c r="D213" s="1"/>
      <c r="E213" s="1"/>
      <c r="F213" s="1"/>
      <c r="G213" s="44"/>
      <c r="H213" s="1"/>
    </row>
    <row r="214" ht="14.25" customHeight="1">
      <c r="A214" s="1"/>
      <c r="B214" s="1"/>
      <c r="C214" s="1"/>
      <c r="D214" s="1"/>
      <c r="E214" s="1"/>
      <c r="F214" s="1"/>
      <c r="G214" s="44"/>
      <c r="H214" s="1"/>
    </row>
    <row r="215" ht="14.25" customHeight="1">
      <c r="A215" s="1"/>
      <c r="B215" s="1"/>
      <c r="C215" s="1"/>
      <c r="D215" s="1"/>
      <c r="E215" s="1"/>
      <c r="F215" s="1"/>
      <c r="G215" s="44"/>
      <c r="H215" s="1"/>
    </row>
    <row r="216" ht="14.25" customHeight="1">
      <c r="A216" s="1"/>
      <c r="B216" s="1"/>
      <c r="C216" s="1"/>
      <c r="D216" s="1"/>
      <c r="E216" s="1"/>
      <c r="F216" s="1"/>
      <c r="G216" s="44"/>
      <c r="H216" s="1"/>
    </row>
    <row r="217" ht="14.25" customHeight="1">
      <c r="A217" s="1"/>
      <c r="B217" s="1"/>
      <c r="C217" s="1"/>
      <c r="D217" s="1"/>
      <c r="E217" s="1"/>
      <c r="F217" s="1"/>
      <c r="G217" s="44"/>
      <c r="H217" s="1"/>
    </row>
    <row r="218" ht="14.25" customHeight="1">
      <c r="A218" s="1"/>
      <c r="B218" s="1"/>
      <c r="C218" s="1"/>
      <c r="D218" s="1"/>
      <c r="E218" s="1"/>
      <c r="F218" s="1"/>
      <c r="G218" s="44"/>
      <c r="H218" s="1"/>
    </row>
    <row r="219" ht="14.25" customHeight="1">
      <c r="A219" s="1"/>
      <c r="B219" s="1"/>
      <c r="C219" s="1"/>
      <c r="D219" s="1"/>
      <c r="E219" s="1"/>
      <c r="F219" s="1"/>
      <c r="G219" s="44"/>
      <c r="H219" s="1"/>
    </row>
    <row r="220" ht="14.25" customHeight="1">
      <c r="A220" s="1"/>
      <c r="B220" s="1"/>
      <c r="C220" s="1"/>
      <c r="D220" s="1"/>
      <c r="E220" s="1"/>
      <c r="F220" s="1"/>
      <c r="G220" s="44"/>
      <c r="H220" s="1"/>
    </row>
    <row r="221" ht="14.25" customHeight="1">
      <c r="A221" s="1"/>
      <c r="B221" s="1"/>
      <c r="C221" s="1"/>
      <c r="D221" s="1"/>
      <c r="E221" s="1"/>
      <c r="F221" s="1"/>
      <c r="G221" s="44"/>
      <c r="H221" s="1"/>
    </row>
    <row r="222" ht="14.25" customHeight="1">
      <c r="A222" s="1"/>
      <c r="B222" s="1"/>
      <c r="C222" s="1"/>
      <c r="D222" s="1"/>
      <c r="E222" s="1"/>
      <c r="F222" s="1"/>
      <c r="G222" s="44"/>
      <c r="H222" s="1"/>
    </row>
    <row r="223" ht="14.25" customHeight="1">
      <c r="A223" s="1"/>
      <c r="B223" s="1"/>
      <c r="C223" s="1"/>
      <c r="D223" s="1"/>
      <c r="E223" s="1"/>
      <c r="F223" s="1"/>
      <c r="G223" s="44"/>
      <c r="H223" s="1"/>
    </row>
    <row r="224" ht="14.25" customHeight="1">
      <c r="A224" s="1"/>
      <c r="B224" s="1"/>
      <c r="C224" s="1"/>
      <c r="D224" s="1"/>
      <c r="E224" s="1"/>
      <c r="F224" s="1"/>
      <c r="G224" s="44"/>
      <c r="H224" s="1"/>
    </row>
    <row r="225" ht="14.25" customHeight="1">
      <c r="A225" s="1"/>
      <c r="B225" s="1"/>
      <c r="C225" s="1"/>
      <c r="D225" s="1"/>
      <c r="E225" s="1"/>
      <c r="F225" s="1"/>
      <c r="G225" s="44"/>
      <c r="H225" s="1"/>
    </row>
    <row r="226" ht="14.25" customHeight="1">
      <c r="A226" s="1"/>
      <c r="B226" s="1"/>
      <c r="C226" s="1"/>
      <c r="D226" s="1"/>
      <c r="E226" s="1"/>
      <c r="F226" s="1"/>
      <c r="G226" s="44"/>
      <c r="H226" s="1"/>
    </row>
    <row r="227" ht="14.25" customHeight="1">
      <c r="A227" s="1"/>
      <c r="B227" s="1"/>
      <c r="C227" s="1"/>
      <c r="D227" s="1"/>
      <c r="E227" s="1"/>
      <c r="F227" s="1"/>
      <c r="G227" s="44"/>
      <c r="H227" s="1"/>
    </row>
    <row r="228" ht="14.25" customHeight="1">
      <c r="A228" s="1"/>
      <c r="B228" s="1"/>
      <c r="C228" s="1"/>
      <c r="D228" s="1"/>
      <c r="E228" s="1"/>
      <c r="F228" s="1"/>
      <c r="G228" s="44"/>
      <c r="H228" s="1"/>
    </row>
    <row r="229" ht="14.25" customHeight="1">
      <c r="A229" s="1"/>
      <c r="B229" s="1"/>
      <c r="C229" s="1"/>
      <c r="D229" s="1"/>
      <c r="E229" s="1"/>
      <c r="F229" s="1"/>
      <c r="G229" s="44"/>
      <c r="H229" s="1"/>
    </row>
    <row r="230" ht="14.25" customHeight="1">
      <c r="A230" s="1"/>
      <c r="B230" s="1"/>
      <c r="C230" s="1"/>
      <c r="D230" s="1"/>
      <c r="E230" s="1"/>
      <c r="F230" s="1"/>
      <c r="G230" s="44"/>
      <c r="H230" s="1"/>
    </row>
    <row r="231" ht="14.25" customHeight="1">
      <c r="A231" s="1"/>
      <c r="B231" s="1"/>
      <c r="C231" s="1"/>
      <c r="D231" s="1"/>
      <c r="E231" s="1"/>
      <c r="F231" s="1"/>
      <c r="G231" s="44"/>
      <c r="H231" s="1"/>
    </row>
    <row r="232" ht="14.25" customHeight="1">
      <c r="A232" s="1"/>
      <c r="B232" s="1"/>
      <c r="C232" s="1"/>
      <c r="D232" s="1"/>
      <c r="E232" s="1"/>
      <c r="F232" s="1"/>
      <c r="G232" s="44"/>
      <c r="H232" s="1"/>
    </row>
    <row r="233" ht="14.25" customHeight="1">
      <c r="A233" s="1"/>
      <c r="B233" s="1"/>
      <c r="C233" s="1"/>
      <c r="D233" s="1"/>
      <c r="E233" s="1"/>
      <c r="F233" s="1"/>
      <c r="G233" s="44"/>
      <c r="H233" s="1"/>
    </row>
    <row r="234" ht="14.25" customHeight="1">
      <c r="A234" s="1"/>
      <c r="B234" s="1"/>
      <c r="C234" s="1"/>
      <c r="D234" s="1"/>
      <c r="E234" s="1"/>
      <c r="F234" s="1"/>
      <c r="G234" s="44"/>
      <c r="H234" s="1"/>
    </row>
    <row r="235" ht="14.25" customHeight="1">
      <c r="A235" s="1"/>
      <c r="B235" s="1"/>
      <c r="C235" s="1"/>
      <c r="D235" s="1"/>
      <c r="E235" s="1"/>
      <c r="F235" s="1"/>
      <c r="G235" s="44"/>
      <c r="H235" s="1"/>
    </row>
    <row r="236" ht="14.25" customHeight="1">
      <c r="A236" s="1"/>
      <c r="B236" s="1"/>
      <c r="C236" s="1"/>
      <c r="D236" s="1"/>
      <c r="E236" s="1"/>
      <c r="F236" s="1"/>
      <c r="G236" s="44"/>
      <c r="H236" s="1"/>
    </row>
    <row r="237" ht="14.25" customHeight="1">
      <c r="A237" s="1"/>
      <c r="B237" s="1"/>
      <c r="C237" s="1"/>
      <c r="D237" s="1"/>
      <c r="E237" s="1"/>
      <c r="F237" s="1"/>
      <c r="G237" s="44"/>
      <c r="H237" s="1"/>
    </row>
    <row r="238" ht="14.25" customHeight="1">
      <c r="A238" s="1"/>
      <c r="B238" s="1"/>
      <c r="C238" s="1"/>
      <c r="D238" s="1"/>
      <c r="E238" s="1"/>
      <c r="F238" s="1"/>
      <c r="G238" s="44"/>
      <c r="H238" s="1"/>
    </row>
    <row r="239" ht="14.25" customHeight="1">
      <c r="A239" s="1"/>
      <c r="B239" s="1"/>
      <c r="C239" s="1"/>
      <c r="D239" s="1"/>
      <c r="E239" s="1"/>
      <c r="F239" s="1"/>
      <c r="G239" s="44"/>
      <c r="H239" s="1"/>
    </row>
    <row r="240" ht="14.25" customHeight="1">
      <c r="A240" s="1"/>
      <c r="B240" s="1"/>
      <c r="C240" s="1"/>
      <c r="D240" s="1"/>
      <c r="E240" s="1"/>
      <c r="F240" s="1"/>
      <c r="G240" s="44"/>
      <c r="H240" s="1"/>
    </row>
    <row r="241" ht="14.25" customHeight="1">
      <c r="A241" s="1"/>
      <c r="B241" s="1"/>
      <c r="C241" s="1"/>
      <c r="D241" s="1"/>
      <c r="E241" s="1"/>
      <c r="F241" s="1"/>
      <c r="G241" s="44"/>
      <c r="H241" s="1"/>
    </row>
    <row r="242" ht="14.25" customHeight="1">
      <c r="A242" s="1"/>
      <c r="B242" s="1"/>
      <c r="C242" s="1"/>
      <c r="D242" s="1"/>
      <c r="E242" s="1"/>
      <c r="F242" s="1"/>
      <c r="G242" s="44"/>
      <c r="H242" s="1"/>
    </row>
    <row r="243" ht="14.25" customHeight="1">
      <c r="A243" s="1"/>
      <c r="B243" s="1"/>
      <c r="C243" s="1"/>
      <c r="D243" s="1"/>
      <c r="E243" s="1"/>
      <c r="F243" s="1"/>
      <c r="G243" s="44"/>
      <c r="H243" s="1"/>
    </row>
    <row r="244" ht="14.25" customHeight="1">
      <c r="A244" s="1"/>
      <c r="B244" s="1"/>
      <c r="C244" s="1"/>
      <c r="D244" s="1"/>
      <c r="E244" s="1"/>
      <c r="F244" s="1"/>
      <c r="G244" s="44"/>
      <c r="H244" s="1"/>
    </row>
    <row r="245" ht="14.25" customHeight="1">
      <c r="A245" s="1"/>
      <c r="B245" s="1"/>
      <c r="C245" s="1"/>
      <c r="D245" s="1"/>
      <c r="E245" s="1"/>
      <c r="F245" s="1"/>
      <c r="G245" s="44"/>
      <c r="H245" s="1"/>
    </row>
    <row r="246" ht="14.25" customHeight="1">
      <c r="A246" s="1"/>
      <c r="B246" s="1"/>
      <c r="C246" s="1"/>
      <c r="D246" s="1"/>
      <c r="E246" s="1"/>
      <c r="F246" s="1"/>
      <c r="G246" s="44"/>
      <c r="H246" s="1"/>
    </row>
    <row r="247" ht="14.25" customHeight="1">
      <c r="A247" s="1"/>
      <c r="B247" s="1"/>
      <c r="C247" s="1"/>
      <c r="D247" s="1"/>
      <c r="E247" s="1"/>
      <c r="F247" s="1"/>
      <c r="G247" s="44"/>
      <c r="H247" s="1"/>
    </row>
    <row r="248" ht="14.25" customHeight="1">
      <c r="A248" s="1"/>
      <c r="B248" s="1"/>
      <c r="C248" s="1"/>
      <c r="D248" s="1"/>
      <c r="E248" s="1"/>
      <c r="F248" s="1"/>
      <c r="G248" s="44"/>
      <c r="H248" s="1"/>
    </row>
    <row r="249" ht="14.25" customHeight="1">
      <c r="A249" s="1"/>
      <c r="B249" s="1"/>
      <c r="C249" s="1"/>
      <c r="D249" s="1"/>
      <c r="E249" s="1"/>
      <c r="F249" s="1"/>
      <c r="G249" s="44"/>
      <c r="H249" s="1"/>
    </row>
    <row r="250" ht="14.25" customHeight="1">
      <c r="A250" s="1"/>
      <c r="B250" s="1"/>
      <c r="C250" s="1"/>
      <c r="D250" s="1"/>
      <c r="E250" s="1"/>
      <c r="F250" s="1"/>
      <c r="G250" s="44"/>
      <c r="H250" s="1"/>
    </row>
    <row r="251" ht="14.25" customHeight="1">
      <c r="A251" s="1"/>
      <c r="B251" s="1"/>
      <c r="C251" s="1"/>
      <c r="D251" s="1"/>
      <c r="E251" s="1"/>
      <c r="F251" s="1"/>
      <c r="G251" s="44"/>
      <c r="H251" s="1"/>
    </row>
    <row r="252" ht="14.25" customHeight="1">
      <c r="A252" s="1"/>
      <c r="B252" s="1"/>
      <c r="C252" s="1"/>
      <c r="D252" s="1"/>
      <c r="E252" s="1"/>
      <c r="F252" s="1"/>
      <c r="G252" s="44"/>
      <c r="H252" s="1"/>
    </row>
    <row r="253" ht="14.25" customHeight="1">
      <c r="A253" s="1"/>
      <c r="B253" s="1"/>
      <c r="C253" s="1"/>
      <c r="D253" s="1"/>
      <c r="E253" s="1"/>
      <c r="F253" s="1"/>
      <c r="G253" s="44"/>
      <c r="H253" s="1"/>
    </row>
    <row r="254" ht="14.25" customHeight="1">
      <c r="A254" s="1"/>
      <c r="B254" s="1"/>
      <c r="C254" s="1"/>
      <c r="D254" s="1"/>
      <c r="E254" s="1"/>
      <c r="F254" s="1"/>
      <c r="G254" s="44"/>
      <c r="H254" s="1"/>
    </row>
    <row r="255" ht="14.25" customHeight="1">
      <c r="A255" s="1"/>
      <c r="B255" s="1"/>
      <c r="C255" s="1"/>
      <c r="D255" s="1"/>
      <c r="E255" s="1"/>
      <c r="F255" s="1"/>
      <c r="G255" s="44"/>
      <c r="H255" s="1"/>
    </row>
    <row r="256" ht="14.25" customHeight="1">
      <c r="A256" s="1"/>
      <c r="B256" s="1"/>
      <c r="C256" s="1"/>
      <c r="D256" s="1"/>
      <c r="E256" s="1"/>
      <c r="F256" s="1"/>
      <c r="G256" s="44"/>
      <c r="H256" s="1"/>
    </row>
    <row r="257" ht="14.25" customHeight="1">
      <c r="A257" s="1"/>
      <c r="B257" s="1"/>
      <c r="C257" s="1"/>
      <c r="D257" s="1"/>
      <c r="E257" s="1"/>
      <c r="F257" s="1"/>
      <c r="G257" s="44"/>
      <c r="H257" s="1"/>
    </row>
    <row r="258" ht="14.25" customHeight="1">
      <c r="A258" s="1"/>
      <c r="B258" s="1"/>
      <c r="C258" s="1"/>
      <c r="D258" s="1"/>
      <c r="E258" s="1"/>
      <c r="F258" s="1"/>
      <c r="G258" s="44"/>
      <c r="H258" s="1"/>
    </row>
    <row r="259" ht="14.25" customHeight="1">
      <c r="A259" s="1"/>
      <c r="B259" s="1"/>
      <c r="C259" s="1"/>
      <c r="D259" s="1"/>
      <c r="E259" s="1"/>
      <c r="F259" s="1"/>
      <c r="G259" s="44"/>
      <c r="H259" s="1"/>
    </row>
    <row r="260" ht="14.25" customHeight="1">
      <c r="A260" s="1"/>
      <c r="B260" s="1"/>
      <c r="C260" s="1"/>
      <c r="D260" s="1"/>
      <c r="E260" s="1"/>
      <c r="F260" s="1"/>
      <c r="G260" s="44"/>
      <c r="H260" s="1"/>
    </row>
    <row r="261" ht="14.25" customHeight="1">
      <c r="A261" s="1"/>
      <c r="B261" s="1"/>
      <c r="C261" s="1"/>
      <c r="D261" s="1"/>
      <c r="E261" s="1"/>
      <c r="F261" s="1"/>
      <c r="G261" s="44"/>
      <c r="H261" s="1"/>
    </row>
    <row r="262" ht="14.25" customHeight="1">
      <c r="A262" s="1"/>
      <c r="B262" s="1"/>
      <c r="C262" s="1"/>
      <c r="D262" s="1"/>
      <c r="E262" s="1"/>
      <c r="F262" s="1"/>
      <c r="G262" s="44"/>
      <c r="H262" s="1"/>
    </row>
    <row r="263" ht="14.25" customHeight="1">
      <c r="G263" s="52"/>
    </row>
    <row r="264" ht="14.25" customHeight="1">
      <c r="G264" s="52"/>
    </row>
    <row r="265" ht="14.25" customHeight="1">
      <c r="G265" s="52"/>
    </row>
    <row r="266" ht="14.25" customHeight="1">
      <c r="G266" s="52"/>
    </row>
    <row r="267" ht="14.25" customHeight="1">
      <c r="G267" s="52"/>
    </row>
    <row r="268" ht="14.25" customHeight="1">
      <c r="G268" s="52"/>
    </row>
    <row r="269" ht="14.25" customHeight="1">
      <c r="G269" s="52"/>
    </row>
    <row r="270" ht="14.25" customHeight="1">
      <c r="G270" s="52"/>
    </row>
    <row r="271" ht="14.25" customHeight="1">
      <c r="G271" s="52"/>
    </row>
    <row r="272" ht="14.25" customHeight="1">
      <c r="G272" s="52"/>
    </row>
    <row r="273" ht="14.25" customHeight="1">
      <c r="G273" s="52"/>
    </row>
    <row r="274" ht="14.25" customHeight="1">
      <c r="G274" s="52"/>
    </row>
    <row r="275" ht="14.25" customHeight="1">
      <c r="G275" s="52"/>
    </row>
    <row r="276" ht="14.25" customHeight="1">
      <c r="G276" s="52"/>
    </row>
    <row r="277" ht="14.25" customHeight="1">
      <c r="G277" s="52"/>
    </row>
    <row r="278" ht="14.25" customHeight="1">
      <c r="G278" s="52"/>
    </row>
    <row r="279" ht="14.25" customHeight="1">
      <c r="G279" s="52"/>
    </row>
    <row r="280" ht="14.25" customHeight="1">
      <c r="G280" s="52"/>
    </row>
    <row r="281" ht="14.25" customHeight="1">
      <c r="G281" s="52"/>
    </row>
    <row r="282" ht="14.25" customHeight="1">
      <c r="G282" s="52"/>
    </row>
    <row r="283" ht="14.25" customHeight="1">
      <c r="G283" s="52"/>
    </row>
    <row r="284" ht="14.25" customHeight="1">
      <c r="G284" s="52"/>
    </row>
    <row r="285" ht="14.25" customHeight="1">
      <c r="G285" s="52"/>
    </row>
    <row r="286" ht="14.25" customHeight="1">
      <c r="G286" s="52"/>
    </row>
    <row r="287" ht="14.25" customHeight="1">
      <c r="G287" s="52"/>
    </row>
    <row r="288" ht="14.25" customHeight="1">
      <c r="G288" s="52"/>
    </row>
    <row r="289" ht="14.25" customHeight="1">
      <c r="G289" s="52"/>
    </row>
    <row r="290" ht="14.25" customHeight="1">
      <c r="G290" s="52"/>
    </row>
    <row r="291" ht="14.25" customHeight="1">
      <c r="G291" s="52"/>
    </row>
    <row r="292" ht="14.25" customHeight="1">
      <c r="G292" s="52"/>
    </row>
    <row r="293" ht="14.25" customHeight="1">
      <c r="G293" s="52"/>
    </row>
    <row r="294" ht="14.25" customHeight="1">
      <c r="G294" s="52"/>
    </row>
    <row r="295" ht="14.25" customHeight="1">
      <c r="G295" s="52"/>
    </row>
    <row r="296" ht="14.25" customHeight="1">
      <c r="G296" s="52"/>
    </row>
    <row r="297" ht="14.25" customHeight="1">
      <c r="G297" s="52"/>
    </row>
    <row r="298" ht="14.25" customHeight="1">
      <c r="G298" s="52"/>
    </row>
    <row r="299" ht="14.25" customHeight="1">
      <c r="G299" s="52"/>
    </row>
    <row r="300" ht="14.25" customHeight="1">
      <c r="G300" s="52"/>
    </row>
    <row r="301" ht="14.25" customHeight="1">
      <c r="G301" s="52"/>
    </row>
    <row r="302" ht="14.25" customHeight="1">
      <c r="G302" s="52"/>
    </row>
    <row r="303" ht="14.25" customHeight="1">
      <c r="G303" s="52"/>
    </row>
    <row r="304" ht="14.25" customHeight="1">
      <c r="G304" s="52"/>
    </row>
    <row r="305" ht="14.25" customHeight="1">
      <c r="G305" s="52"/>
    </row>
    <row r="306" ht="14.25" customHeight="1">
      <c r="G306" s="52"/>
    </row>
    <row r="307" ht="14.25" customHeight="1">
      <c r="G307" s="52"/>
    </row>
    <row r="308" ht="14.25" customHeight="1">
      <c r="G308" s="52"/>
    </row>
    <row r="309" ht="14.25" customHeight="1">
      <c r="G309" s="52"/>
    </row>
    <row r="310" ht="14.25" customHeight="1">
      <c r="G310" s="52"/>
    </row>
    <row r="311" ht="14.25" customHeight="1">
      <c r="G311" s="52"/>
    </row>
    <row r="312" ht="14.25" customHeight="1">
      <c r="G312" s="52"/>
    </row>
    <row r="313" ht="14.25" customHeight="1">
      <c r="G313" s="52"/>
    </row>
    <row r="314" ht="14.25" customHeight="1">
      <c r="G314" s="52"/>
    </row>
    <row r="315" ht="14.25" customHeight="1">
      <c r="G315" s="52"/>
    </row>
    <row r="316" ht="14.25" customHeight="1">
      <c r="G316" s="52"/>
    </row>
    <row r="317" ht="14.25" customHeight="1">
      <c r="G317" s="52"/>
    </row>
    <row r="318" ht="14.25" customHeight="1">
      <c r="G318" s="52"/>
    </row>
    <row r="319" ht="14.25" customHeight="1">
      <c r="G319" s="52"/>
    </row>
    <row r="320" ht="14.25" customHeight="1">
      <c r="G320" s="52"/>
    </row>
    <row r="321" ht="14.25" customHeight="1">
      <c r="G321" s="52"/>
    </row>
    <row r="322" ht="14.25" customHeight="1">
      <c r="G322" s="52"/>
    </row>
    <row r="323" ht="14.25" customHeight="1">
      <c r="G323" s="52"/>
    </row>
    <row r="324" ht="14.25" customHeight="1">
      <c r="G324" s="52"/>
    </row>
    <row r="325" ht="14.25" customHeight="1">
      <c r="G325" s="52"/>
    </row>
    <row r="326" ht="14.25" customHeight="1">
      <c r="G326" s="52"/>
    </row>
    <row r="327" ht="14.25" customHeight="1">
      <c r="G327" s="52"/>
    </row>
    <row r="328" ht="14.25" customHeight="1">
      <c r="G328" s="52"/>
    </row>
    <row r="329" ht="14.25" customHeight="1">
      <c r="G329" s="52"/>
    </row>
    <row r="330" ht="14.25" customHeight="1">
      <c r="G330" s="52"/>
    </row>
    <row r="331" ht="14.25" customHeight="1">
      <c r="G331" s="52"/>
    </row>
    <row r="332" ht="14.25" customHeight="1">
      <c r="G332" s="52"/>
    </row>
    <row r="333" ht="14.25" customHeight="1">
      <c r="G333" s="52"/>
    </row>
    <row r="334" ht="14.25" customHeight="1">
      <c r="G334" s="52"/>
    </row>
    <row r="335" ht="14.25" customHeight="1">
      <c r="G335" s="52"/>
    </row>
    <row r="336" ht="14.25" customHeight="1">
      <c r="G336" s="52"/>
    </row>
    <row r="337" ht="14.25" customHeight="1">
      <c r="G337" s="52"/>
    </row>
    <row r="338" ht="14.25" customHeight="1">
      <c r="G338" s="52"/>
    </row>
    <row r="339" ht="14.25" customHeight="1">
      <c r="G339" s="52"/>
    </row>
    <row r="340" ht="14.25" customHeight="1">
      <c r="G340" s="52"/>
    </row>
    <row r="341" ht="14.25" customHeight="1">
      <c r="G341" s="52"/>
    </row>
    <row r="342" ht="14.25" customHeight="1">
      <c r="G342" s="52"/>
    </row>
    <row r="343" ht="14.25" customHeight="1">
      <c r="G343" s="52"/>
    </row>
    <row r="344" ht="14.25" customHeight="1">
      <c r="G344" s="52"/>
    </row>
    <row r="345" ht="14.25" customHeight="1">
      <c r="G345" s="52"/>
    </row>
    <row r="346" ht="14.25" customHeight="1">
      <c r="G346" s="52"/>
    </row>
    <row r="347" ht="14.25" customHeight="1">
      <c r="G347" s="52"/>
    </row>
    <row r="348" ht="14.25" customHeight="1">
      <c r="G348" s="52"/>
    </row>
    <row r="349" ht="14.25" customHeight="1">
      <c r="G349" s="52"/>
    </row>
    <row r="350" ht="14.25" customHeight="1">
      <c r="G350" s="52"/>
    </row>
    <row r="351" ht="14.25" customHeight="1">
      <c r="G351" s="52"/>
    </row>
    <row r="352" ht="14.25" customHeight="1">
      <c r="G352" s="52"/>
    </row>
    <row r="353" ht="14.25" customHeight="1">
      <c r="G353" s="52"/>
    </row>
    <row r="354" ht="14.25" customHeight="1">
      <c r="G354" s="52"/>
    </row>
    <row r="355" ht="14.25" customHeight="1">
      <c r="G355" s="52"/>
    </row>
    <row r="356" ht="14.25" customHeight="1">
      <c r="G356" s="52"/>
    </row>
    <row r="357" ht="14.25" customHeight="1">
      <c r="G357" s="52"/>
    </row>
    <row r="358" ht="14.25" customHeight="1">
      <c r="G358" s="52"/>
    </row>
    <row r="359" ht="14.25" customHeight="1">
      <c r="G359" s="52"/>
    </row>
    <row r="360" ht="14.25" customHeight="1">
      <c r="G360" s="52"/>
    </row>
    <row r="361" ht="14.25" customHeight="1">
      <c r="G361" s="52"/>
    </row>
    <row r="362" ht="14.25" customHeight="1">
      <c r="G362" s="52"/>
    </row>
    <row r="363" ht="14.25" customHeight="1">
      <c r="G363" s="52"/>
    </row>
    <row r="364" ht="14.25" customHeight="1">
      <c r="G364" s="52"/>
    </row>
    <row r="365" ht="14.25" customHeight="1">
      <c r="G365" s="52"/>
    </row>
    <row r="366" ht="14.25" customHeight="1">
      <c r="G366" s="52"/>
    </row>
    <row r="367" ht="14.25" customHeight="1">
      <c r="G367" s="52"/>
    </row>
    <row r="368" ht="14.25" customHeight="1">
      <c r="G368" s="52"/>
    </row>
    <row r="369" ht="14.25" customHeight="1">
      <c r="G369" s="52"/>
    </row>
    <row r="370" ht="14.25" customHeight="1">
      <c r="G370" s="52"/>
    </row>
    <row r="371" ht="14.25" customHeight="1">
      <c r="G371" s="52"/>
    </row>
    <row r="372" ht="14.25" customHeight="1">
      <c r="G372" s="52"/>
    </row>
    <row r="373" ht="14.25" customHeight="1">
      <c r="G373" s="52"/>
    </row>
    <row r="374" ht="14.25" customHeight="1">
      <c r="G374" s="52"/>
    </row>
    <row r="375" ht="14.25" customHeight="1">
      <c r="G375" s="52"/>
    </row>
    <row r="376" ht="14.25" customHeight="1">
      <c r="G376" s="52"/>
    </row>
    <row r="377" ht="14.25" customHeight="1">
      <c r="G377" s="52"/>
    </row>
    <row r="378" ht="14.25" customHeight="1">
      <c r="G378" s="52"/>
    </row>
    <row r="379" ht="14.25" customHeight="1">
      <c r="G379" s="52"/>
    </row>
    <row r="380" ht="14.25" customHeight="1">
      <c r="G380" s="52"/>
    </row>
    <row r="381" ht="14.25" customHeight="1">
      <c r="G381" s="52"/>
    </row>
    <row r="382" ht="14.25" customHeight="1">
      <c r="G382" s="52"/>
    </row>
    <row r="383" ht="14.25" customHeight="1">
      <c r="G383" s="52"/>
    </row>
    <row r="384" ht="14.25" customHeight="1">
      <c r="G384" s="52"/>
    </row>
    <row r="385" ht="14.25" customHeight="1">
      <c r="G385" s="52"/>
    </row>
    <row r="386" ht="14.25" customHeight="1">
      <c r="G386" s="52"/>
    </row>
    <row r="387" ht="14.25" customHeight="1">
      <c r="G387" s="52"/>
    </row>
    <row r="388" ht="14.25" customHeight="1">
      <c r="G388" s="52"/>
    </row>
    <row r="389" ht="14.25" customHeight="1">
      <c r="G389" s="52"/>
    </row>
    <row r="390" ht="14.25" customHeight="1">
      <c r="G390" s="52"/>
    </row>
    <row r="391" ht="14.25" customHeight="1">
      <c r="G391" s="52"/>
    </row>
    <row r="392" ht="14.25" customHeight="1">
      <c r="G392" s="52"/>
    </row>
    <row r="393" ht="14.25" customHeight="1">
      <c r="G393" s="52"/>
    </row>
    <row r="394" ht="14.25" customHeight="1">
      <c r="G394" s="52"/>
    </row>
    <row r="395" ht="14.25" customHeight="1">
      <c r="G395" s="52"/>
    </row>
    <row r="396" ht="14.25" customHeight="1">
      <c r="G396" s="52"/>
    </row>
    <row r="397" ht="14.25" customHeight="1">
      <c r="G397" s="52"/>
    </row>
    <row r="398" ht="14.25" customHeight="1">
      <c r="G398" s="52"/>
    </row>
    <row r="399" ht="14.25" customHeight="1">
      <c r="G399" s="52"/>
    </row>
    <row r="400" ht="14.25" customHeight="1">
      <c r="G400" s="52"/>
    </row>
    <row r="401" ht="14.25" customHeight="1">
      <c r="G401" s="52"/>
    </row>
    <row r="402" ht="14.25" customHeight="1">
      <c r="G402" s="52"/>
    </row>
    <row r="403" ht="14.25" customHeight="1">
      <c r="G403" s="52"/>
    </row>
    <row r="404" ht="14.25" customHeight="1">
      <c r="G404" s="52"/>
    </row>
    <row r="405" ht="14.25" customHeight="1">
      <c r="G405" s="52"/>
    </row>
    <row r="406" ht="14.25" customHeight="1">
      <c r="G406" s="52"/>
    </row>
    <row r="407" ht="14.25" customHeight="1">
      <c r="G407" s="52"/>
    </row>
    <row r="408" ht="14.25" customHeight="1">
      <c r="G408" s="52"/>
    </row>
    <row r="409" ht="14.25" customHeight="1">
      <c r="G409" s="52"/>
    </row>
    <row r="410" ht="14.25" customHeight="1">
      <c r="G410" s="52"/>
    </row>
    <row r="411" ht="14.25" customHeight="1">
      <c r="G411" s="52"/>
    </row>
    <row r="412" ht="14.25" customHeight="1">
      <c r="G412" s="52"/>
    </row>
    <row r="413" ht="14.25" customHeight="1">
      <c r="G413" s="52"/>
    </row>
    <row r="414" ht="14.25" customHeight="1">
      <c r="G414" s="52"/>
    </row>
    <row r="415" ht="14.25" customHeight="1">
      <c r="G415" s="52"/>
    </row>
    <row r="416" ht="14.25" customHeight="1">
      <c r="G416" s="52"/>
    </row>
    <row r="417" ht="14.25" customHeight="1">
      <c r="G417" s="52"/>
    </row>
    <row r="418" ht="14.25" customHeight="1">
      <c r="G418" s="52"/>
    </row>
    <row r="419" ht="14.25" customHeight="1">
      <c r="G419" s="52"/>
    </row>
    <row r="420" ht="14.25" customHeight="1">
      <c r="G420" s="52"/>
    </row>
    <row r="421" ht="14.25" customHeight="1">
      <c r="G421" s="52"/>
    </row>
    <row r="422" ht="14.25" customHeight="1">
      <c r="G422" s="52"/>
    </row>
    <row r="423" ht="14.25" customHeight="1">
      <c r="G423" s="52"/>
    </row>
    <row r="424" ht="14.25" customHeight="1">
      <c r="G424" s="52"/>
    </row>
    <row r="425" ht="14.25" customHeight="1">
      <c r="G425" s="52"/>
    </row>
    <row r="426" ht="14.25" customHeight="1">
      <c r="G426" s="52"/>
    </row>
    <row r="427" ht="14.25" customHeight="1">
      <c r="G427" s="52"/>
    </row>
    <row r="428" ht="14.25" customHeight="1">
      <c r="G428" s="52"/>
    </row>
    <row r="429" ht="14.25" customHeight="1">
      <c r="G429" s="52"/>
    </row>
    <row r="430" ht="14.25" customHeight="1">
      <c r="G430" s="52"/>
    </row>
    <row r="431" ht="14.25" customHeight="1">
      <c r="G431" s="52"/>
    </row>
    <row r="432" ht="14.25" customHeight="1">
      <c r="G432" s="52"/>
    </row>
    <row r="433" ht="14.25" customHeight="1">
      <c r="G433" s="52"/>
    </row>
    <row r="434" ht="14.25" customHeight="1">
      <c r="G434" s="52"/>
    </row>
    <row r="435" ht="14.25" customHeight="1">
      <c r="G435" s="52"/>
    </row>
    <row r="436" ht="14.25" customHeight="1">
      <c r="G436" s="52"/>
    </row>
    <row r="437" ht="14.25" customHeight="1">
      <c r="G437" s="52"/>
    </row>
    <row r="438" ht="14.25" customHeight="1">
      <c r="G438" s="52"/>
    </row>
    <row r="439" ht="14.25" customHeight="1">
      <c r="G439" s="52"/>
    </row>
    <row r="440" ht="14.25" customHeight="1">
      <c r="G440" s="52"/>
    </row>
    <row r="441" ht="14.25" customHeight="1">
      <c r="G441" s="52"/>
    </row>
    <row r="442" ht="14.25" customHeight="1">
      <c r="G442" s="52"/>
    </row>
    <row r="443" ht="14.25" customHeight="1">
      <c r="G443" s="52"/>
    </row>
    <row r="444" ht="14.25" customHeight="1">
      <c r="G444" s="52"/>
    </row>
    <row r="445" ht="14.25" customHeight="1">
      <c r="G445" s="52"/>
    </row>
    <row r="446" ht="14.25" customHeight="1">
      <c r="G446" s="52"/>
    </row>
    <row r="447" ht="14.25" customHeight="1">
      <c r="G447" s="52"/>
    </row>
    <row r="448" ht="14.25" customHeight="1">
      <c r="G448" s="52"/>
    </row>
    <row r="449" ht="14.25" customHeight="1">
      <c r="G449" s="52"/>
    </row>
    <row r="450" ht="14.25" customHeight="1">
      <c r="G450" s="52"/>
    </row>
    <row r="451" ht="14.25" customHeight="1">
      <c r="G451" s="52"/>
    </row>
    <row r="452" ht="14.25" customHeight="1">
      <c r="G452" s="52"/>
    </row>
    <row r="453" ht="14.25" customHeight="1">
      <c r="G453" s="52"/>
    </row>
    <row r="454" ht="14.25" customHeight="1">
      <c r="G454" s="52"/>
    </row>
    <row r="455" ht="14.25" customHeight="1">
      <c r="G455" s="52"/>
    </row>
    <row r="456" ht="14.25" customHeight="1">
      <c r="G456" s="52"/>
    </row>
    <row r="457" ht="14.25" customHeight="1">
      <c r="G457" s="52"/>
    </row>
    <row r="458" ht="14.25" customHeight="1">
      <c r="G458" s="52"/>
    </row>
    <row r="459" ht="14.25" customHeight="1">
      <c r="G459" s="52"/>
    </row>
    <row r="460" ht="14.25" customHeight="1">
      <c r="G460" s="52"/>
    </row>
    <row r="461" ht="14.25" customHeight="1">
      <c r="G461" s="52"/>
    </row>
    <row r="462" ht="14.25" customHeight="1">
      <c r="G462" s="52"/>
    </row>
    <row r="463" ht="14.25" customHeight="1">
      <c r="G463" s="52"/>
    </row>
    <row r="464" ht="14.25" customHeight="1">
      <c r="G464" s="52"/>
    </row>
    <row r="465" ht="14.25" customHeight="1">
      <c r="G465" s="52"/>
    </row>
    <row r="466" ht="14.25" customHeight="1">
      <c r="G466" s="52"/>
    </row>
    <row r="467" ht="14.25" customHeight="1">
      <c r="G467" s="52"/>
    </row>
    <row r="468" ht="14.25" customHeight="1">
      <c r="G468" s="52"/>
    </row>
    <row r="469" ht="14.25" customHeight="1">
      <c r="G469" s="52"/>
    </row>
    <row r="470" ht="14.25" customHeight="1">
      <c r="G470" s="52"/>
    </row>
    <row r="471" ht="14.25" customHeight="1">
      <c r="G471" s="52"/>
    </row>
    <row r="472" ht="14.25" customHeight="1">
      <c r="G472" s="52"/>
    </row>
    <row r="473" ht="14.25" customHeight="1">
      <c r="G473" s="52"/>
    </row>
    <row r="474" ht="14.25" customHeight="1">
      <c r="G474" s="52"/>
    </row>
    <row r="475" ht="14.25" customHeight="1">
      <c r="G475" s="52"/>
    </row>
    <row r="476" ht="14.25" customHeight="1">
      <c r="G476" s="52"/>
    </row>
    <row r="477" ht="14.25" customHeight="1">
      <c r="G477" s="52"/>
    </row>
    <row r="478" ht="14.25" customHeight="1">
      <c r="G478" s="52"/>
    </row>
    <row r="479" ht="14.25" customHeight="1">
      <c r="G479" s="52"/>
    </row>
    <row r="480" ht="14.25" customHeight="1">
      <c r="G480" s="52"/>
    </row>
    <row r="481" ht="14.25" customHeight="1">
      <c r="G481" s="52"/>
    </row>
    <row r="482" ht="14.25" customHeight="1">
      <c r="G482" s="52"/>
    </row>
    <row r="483" ht="14.25" customHeight="1">
      <c r="G483" s="52"/>
    </row>
    <row r="484" ht="14.25" customHeight="1">
      <c r="G484" s="52"/>
    </row>
    <row r="485" ht="14.25" customHeight="1">
      <c r="G485" s="52"/>
    </row>
    <row r="486" ht="14.25" customHeight="1">
      <c r="G486" s="52"/>
    </row>
    <row r="487" ht="14.25" customHeight="1">
      <c r="G487" s="52"/>
    </row>
    <row r="488" ht="14.25" customHeight="1">
      <c r="G488" s="52"/>
    </row>
    <row r="489" ht="14.25" customHeight="1">
      <c r="G489" s="52"/>
    </row>
    <row r="490" ht="14.25" customHeight="1">
      <c r="G490" s="52"/>
    </row>
    <row r="491" ht="14.25" customHeight="1">
      <c r="G491" s="52"/>
    </row>
    <row r="492" ht="14.25" customHeight="1">
      <c r="G492" s="52"/>
    </row>
    <row r="493" ht="14.25" customHeight="1">
      <c r="G493" s="52"/>
    </row>
    <row r="494" ht="14.25" customHeight="1">
      <c r="G494" s="52"/>
    </row>
    <row r="495" ht="14.25" customHeight="1">
      <c r="G495" s="52"/>
    </row>
    <row r="496" ht="14.25" customHeight="1">
      <c r="G496" s="52"/>
    </row>
    <row r="497" ht="14.25" customHeight="1">
      <c r="G497" s="52"/>
    </row>
    <row r="498" ht="14.25" customHeight="1">
      <c r="G498" s="52"/>
    </row>
    <row r="499" ht="14.25" customHeight="1">
      <c r="G499" s="52"/>
    </row>
    <row r="500" ht="14.25" customHeight="1">
      <c r="G500" s="52"/>
    </row>
    <row r="501" ht="14.25" customHeight="1">
      <c r="G501" s="52"/>
    </row>
    <row r="502" ht="14.25" customHeight="1">
      <c r="G502" s="52"/>
    </row>
    <row r="503" ht="14.25" customHeight="1">
      <c r="G503" s="52"/>
    </row>
    <row r="504" ht="14.25" customHeight="1">
      <c r="G504" s="52"/>
    </row>
    <row r="505" ht="14.25" customHeight="1">
      <c r="G505" s="52"/>
    </row>
    <row r="506" ht="14.25" customHeight="1">
      <c r="G506" s="52"/>
    </row>
    <row r="507" ht="14.25" customHeight="1">
      <c r="G507" s="52"/>
    </row>
    <row r="508" ht="14.25" customHeight="1">
      <c r="G508" s="52"/>
    </row>
    <row r="509" ht="14.25" customHeight="1">
      <c r="G509" s="52"/>
    </row>
    <row r="510" ht="14.25" customHeight="1">
      <c r="G510" s="52"/>
    </row>
    <row r="511" ht="14.25" customHeight="1">
      <c r="G511" s="52"/>
    </row>
    <row r="512" ht="14.25" customHeight="1">
      <c r="G512" s="52"/>
    </row>
    <row r="513" ht="14.25" customHeight="1">
      <c r="G513" s="52"/>
    </row>
    <row r="514" ht="14.25" customHeight="1">
      <c r="G514" s="52"/>
    </row>
    <row r="515" ht="14.25" customHeight="1">
      <c r="G515" s="52"/>
    </row>
    <row r="516" ht="14.25" customHeight="1">
      <c r="G516" s="52"/>
    </row>
    <row r="517" ht="14.25" customHeight="1">
      <c r="G517" s="52"/>
    </row>
    <row r="518" ht="14.25" customHeight="1">
      <c r="G518" s="52"/>
    </row>
    <row r="519" ht="14.25" customHeight="1">
      <c r="G519" s="52"/>
    </row>
    <row r="520" ht="14.25" customHeight="1">
      <c r="G520" s="52"/>
    </row>
    <row r="521" ht="14.25" customHeight="1">
      <c r="G521" s="52"/>
    </row>
    <row r="522" ht="14.25" customHeight="1">
      <c r="G522" s="52"/>
    </row>
    <row r="523" ht="14.25" customHeight="1">
      <c r="G523" s="52"/>
    </row>
    <row r="524" ht="14.25" customHeight="1">
      <c r="G524" s="52"/>
    </row>
    <row r="525" ht="14.25" customHeight="1">
      <c r="G525" s="52"/>
    </row>
    <row r="526" ht="14.25" customHeight="1">
      <c r="G526" s="52"/>
    </row>
    <row r="527" ht="14.25" customHeight="1">
      <c r="G527" s="52"/>
    </row>
    <row r="528" ht="14.25" customHeight="1">
      <c r="G528" s="52"/>
    </row>
    <row r="529" ht="14.25" customHeight="1">
      <c r="G529" s="52"/>
    </row>
    <row r="530" ht="14.25" customHeight="1">
      <c r="G530" s="52"/>
    </row>
    <row r="531" ht="14.25" customHeight="1">
      <c r="G531" s="52"/>
    </row>
    <row r="532" ht="14.25" customHeight="1">
      <c r="G532" s="52"/>
    </row>
    <row r="533" ht="14.25" customHeight="1">
      <c r="G533" s="52"/>
    </row>
    <row r="534" ht="14.25" customHeight="1">
      <c r="G534" s="52"/>
    </row>
    <row r="535" ht="14.25" customHeight="1">
      <c r="G535" s="52"/>
    </row>
    <row r="536" ht="14.25" customHeight="1">
      <c r="G536" s="52"/>
    </row>
    <row r="537" ht="14.25" customHeight="1">
      <c r="G537" s="52"/>
    </row>
    <row r="538" ht="14.25" customHeight="1">
      <c r="G538" s="52"/>
    </row>
    <row r="539" ht="14.25" customHeight="1">
      <c r="G539" s="52"/>
    </row>
    <row r="540" ht="14.25" customHeight="1">
      <c r="G540" s="52"/>
    </row>
    <row r="541" ht="14.25" customHeight="1">
      <c r="G541" s="52"/>
    </row>
    <row r="542" ht="14.25" customHeight="1">
      <c r="G542" s="52"/>
    </row>
    <row r="543" ht="14.25" customHeight="1">
      <c r="G543" s="52"/>
    </row>
    <row r="544" ht="14.25" customHeight="1">
      <c r="G544" s="52"/>
    </row>
    <row r="545" ht="14.25" customHeight="1">
      <c r="G545" s="52"/>
    </row>
    <row r="546" ht="14.25" customHeight="1">
      <c r="G546" s="52"/>
    </row>
    <row r="547" ht="14.25" customHeight="1">
      <c r="G547" s="52"/>
    </row>
    <row r="548" ht="14.25" customHeight="1">
      <c r="G548" s="52"/>
    </row>
    <row r="549" ht="14.25" customHeight="1">
      <c r="G549" s="52"/>
    </row>
    <row r="550" ht="14.25" customHeight="1">
      <c r="G550" s="52"/>
    </row>
    <row r="551" ht="14.25" customHeight="1">
      <c r="G551" s="52"/>
    </row>
    <row r="552" ht="14.25" customHeight="1">
      <c r="G552" s="52"/>
    </row>
    <row r="553" ht="14.25" customHeight="1">
      <c r="G553" s="52"/>
    </row>
    <row r="554" ht="14.25" customHeight="1">
      <c r="G554" s="52"/>
    </row>
    <row r="555" ht="14.25" customHeight="1">
      <c r="G555" s="52"/>
    </row>
    <row r="556" ht="14.25" customHeight="1">
      <c r="G556" s="52"/>
    </row>
    <row r="557" ht="14.25" customHeight="1">
      <c r="G557" s="52"/>
    </row>
    <row r="558" ht="14.25" customHeight="1">
      <c r="G558" s="52"/>
    </row>
    <row r="559" ht="14.25" customHeight="1">
      <c r="G559" s="52"/>
    </row>
    <row r="560" ht="14.25" customHeight="1">
      <c r="G560" s="52"/>
    </row>
    <row r="561" ht="14.25" customHeight="1">
      <c r="G561" s="52"/>
    </row>
    <row r="562" ht="14.25" customHeight="1">
      <c r="G562" s="52"/>
    </row>
    <row r="563" ht="14.25" customHeight="1">
      <c r="G563" s="52"/>
    </row>
    <row r="564" ht="14.25" customHeight="1">
      <c r="G564" s="52"/>
    </row>
    <row r="565" ht="14.25" customHeight="1">
      <c r="G565" s="52"/>
    </row>
    <row r="566" ht="14.25" customHeight="1">
      <c r="G566" s="52"/>
    </row>
    <row r="567" ht="14.25" customHeight="1">
      <c r="G567" s="52"/>
    </row>
    <row r="568" ht="14.25" customHeight="1">
      <c r="G568" s="52"/>
    </row>
    <row r="569" ht="14.25" customHeight="1">
      <c r="G569" s="52"/>
    </row>
    <row r="570" ht="14.25" customHeight="1">
      <c r="G570" s="52"/>
    </row>
    <row r="571" ht="14.25" customHeight="1">
      <c r="G571" s="52"/>
    </row>
    <row r="572" ht="14.25" customHeight="1">
      <c r="G572" s="52"/>
    </row>
    <row r="573" ht="14.25" customHeight="1">
      <c r="G573" s="52"/>
    </row>
    <row r="574" ht="14.25" customHeight="1">
      <c r="G574" s="52"/>
    </row>
    <row r="575" ht="14.25" customHeight="1">
      <c r="G575" s="52"/>
    </row>
    <row r="576" ht="14.25" customHeight="1">
      <c r="G576" s="52"/>
    </row>
    <row r="577" ht="14.25" customHeight="1">
      <c r="G577" s="52"/>
    </row>
    <row r="578" ht="14.25" customHeight="1">
      <c r="G578" s="52"/>
    </row>
    <row r="579" ht="14.25" customHeight="1">
      <c r="G579" s="52"/>
    </row>
    <row r="580" ht="14.25" customHeight="1">
      <c r="G580" s="52"/>
    </row>
    <row r="581" ht="14.25" customHeight="1">
      <c r="G581" s="52"/>
    </row>
    <row r="582" ht="14.25" customHeight="1">
      <c r="G582" s="52"/>
    </row>
    <row r="583" ht="14.25" customHeight="1">
      <c r="G583" s="52"/>
    </row>
    <row r="584" ht="14.25" customHeight="1">
      <c r="G584" s="52"/>
    </row>
    <row r="585" ht="14.25" customHeight="1">
      <c r="G585" s="52"/>
    </row>
    <row r="586" ht="14.25" customHeight="1">
      <c r="G586" s="52"/>
    </row>
    <row r="587" ht="14.25" customHeight="1">
      <c r="G587" s="52"/>
    </row>
    <row r="588" ht="14.25" customHeight="1">
      <c r="G588" s="52"/>
    </row>
    <row r="589" ht="14.25" customHeight="1">
      <c r="G589" s="52"/>
    </row>
    <row r="590" ht="14.25" customHeight="1">
      <c r="G590" s="52"/>
    </row>
    <row r="591" ht="14.25" customHeight="1">
      <c r="G591" s="52"/>
    </row>
    <row r="592" ht="14.25" customHeight="1">
      <c r="G592" s="52"/>
    </row>
    <row r="593" ht="14.25" customHeight="1">
      <c r="G593" s="52"/>
    </row>
    <row r="594" ht="14.25" customHeight="1">
      <c r="G594" s="52"/>
    </row>
    <row r="595" ht="14.25" customHeight="1">
      <c r="G595" s="52"/>
    </row>
    <row r="596" ht="14.25" customHeight="1">
      <c r="G596" s="52"/>
    </row>
    <row r="597" ht="14.25" customHeight="1">
      <c r="G597" s="52"/>
    </row>
    <row r="598" ht="14.25" customHeight="1">
      <c r="G598" s="52"/>
    </row>
    <row r="599" ht="14.25" customHeight="1">
      <c r="G599" s="52"/>
    </row>
    <row r="600" ht="14.25" customHeight="1">
      <c r="G600" s="52"/>
    </row>
    <row r="601" ht="14.25" customHeight="1">
      <c r="G601" s="52"/>
    </row>
    <row r="602" ht="14.25" customHeight="1">
      <c r="G602" s="52"/>
    </row>
    <row r="603" ht="14.25" customHeight="1">
      <c r="G603" s="52"/>
    </row>
    <row r="604" ht="14.25" customHeight="1">
      <c r="G604" s="52"/>
    </row>
    <row r="605" ht="14.25" customHeight="1">
      <c r="G605" s="52"/>
    </row>
    <row r="606" ht="14.25" customHeight="1">
      <c r="G606" s="52"/>
    </row>
    <row r="607" ht="14.25" customHeight="1">
      <c r="G607" s="52"/>
    </row>
    <row r="608" ht="14.25" customHeight="1">
      <c r="G608" s="52"/>
    </row>
    <row r="609" ht="14.25" customHeight="1">
      <c r="G609" s="52"/>
    </row>
    <row r="610" ht="14.25" customHeight="1">
      <c r="G610" s="52"/>
    </row>
    <row r="611" ht="14.25" customHeight="1">
      <c r="G611" s="52"/>
    </row>
    <row r="612" ht="14.25" customHeight="1">
      <c r="G612" s="52"/>
    </row>
    <row r="613" ht="14.25" customHeight="1">
      <c r="G613" s="52"/>
    </row>
    <row r="614" ht="14.25" customHeight="1">
      <c r="G614" s="52"/>
    </row>
    <row r="615" ht="14.25" customHeight="1">
      <c r="G615" s="52"/>
    </row>
    <row r="616" ht="14.25" customHeight="1">
      <c r="G616" s="52"/>
    </row>
    <row r="617" ht="14.25" customHeight="1">
      <c r="G617" s="52"/>
    </row>
    <row r="618" ht="14.25" customHeight="1">
      <c r="G618" s="52"/>
    </row>
    <row r="619" ht="14.25" customHeight="1">
      <c r="G619" s="52"/>
    </row>
    <row r="620" ht="14.25" customHeight="1">
      <c r="G620" s="52"/>
    </row>
    <row r="621" ht="14.25" customHeight="1">
      <c r="G621" s="52"/>
    </row>
    <row r="622" ht="14.25" customHeight="1">
      <c r="G622" s="52"/>
    </row>
    <row r="623" ht="14.25" customHeight="1">
      <c r="G623" s="52"/>
    </row>
    <row r="624" ht="14.25" customHeight="1">
      <c r="G624" s="52"/>
    </row>
    <row r="625" ht="14.25" customHeight="1">
      <c r="G625" s="52"/>
    </row>
    <row r="626" ht="14.25" customHeight="1">
      <c r="G626" s="52"/>
    </row>
    <row r="627" ht="14.25" customHeight="1">
      <c r="G627" s="52"/>
    </row>
    <row r="628" ht="14.25" customHeight="1">
      <c r="G628" s="52"/>
    </row>
    <row r="629" ht="14.25" customHeight="1">
      <c r="G629" s="52"/>
    </row>
    <row r="630" ht="14.25" customHeight="1">
      <c r="G630" s="52"/>
    </row>
    <row r="631" ht="14.25" customHeight="1">
      <c r="G631" s="52"/>
    </row>
    <row r="632" ht="14.25" customHeight="1">
      <c r="G632" s="52"/>
    </row>
    <row r="633" ht="14.25" customHeight="1">
      <c r="G633" s="52"/>
    </row>
    <row r="634" ht="14.25" customHeight="1">
      <c r="G634" s="52"/>
    </row>
    <row r="635" ht="14.25" customHeight="1">
      <c r="G635" s="52"/>
    </row>
    <row r="636" ht="14.25" customHeight="1">
      <c r="G636" s="52"/>
    </row>
    <row r="637" ht="14.25" customHeight="1">
      <c r="G637" s="52"/>
    </row>
    <row r="638" ht="14.25" customHeight="1">
      <c r="G638" s="52"/>
    </row>
    <row r="639" ht="14.25" customHeight="1">
      <c r="G639" s="52"/>
    </row>
    <row r="640" ht="14.25" customHeight="1">
      <c r="G640" s="52"/>
    </row>
    <row r="641" ht="14.25" customHeight="1">
      <c r="G641" s="52"/>
    </row>
    <row r="642" ht="14.25" customHeight="1">
      <c r="G642" s="52"/>
    </row>
    <row r="643" ht="14.25" customHeight="1">
      <c r="G643" s="52"/>
    </row>
    <row r="644" ht="14.25" customHeight="1">
      <c r="G644" s="52"/>
    </row>
    <row r="645" ht="14.25" customHeight="1">
      <c r="G645" s="52"/>
    </row>
    <row r="646" ht="14.25" customHeight="1">
      <c r="G646" s="52"/>
    </row>
    <row r="647" ht="14.25" customHeight="1">
      <c r="G647" s="52"/>
    </row>
    <row r="648" ht="14.25" customHeight="1">
      <c r="G648" s="52"/>
    </row>
    <row r="649" ht="14.25" customHeight="1">
      <c r="G649" s="52"/>
    </row>
    <row r="650" ht="14.25" customHeight="1">
      <c r="G650" s="52"/>
    </row>
    <row r="651" ht="14.25" customHeight="1">
      <c r="G651" s="52"/>
    </row>
    <row r="652" ht="14.25" customHeight="1">
      <c r="G652" s="52"/>
    </row>
    <row r="653" ht="14.25" customHeight="1">
      <c r="G653" s="52"/>
    </row>
    <row r="654" ht="14.25" customHeight="1">
      <c r="G654" s="52"/>
    </row>
    <row r="655" ht="14.25" customHeight="1">
      <c r="G655" s="52"/>
    </row>
    <row r="656" ht="14.25" customHeight="1">
      <c r="G656" s="52"/>
    </row>
    <row r="657" ht="14.25" customHeight="1">
      <c r="G657" s="52"/>
    </row>
    <row r="658" ht="14.25" customHeight="1">
      <c r="G658" s="52"/>
    </row>
    <row r="659" ht="14.25" customHeight="1">
      <c r="G659" s="52"/>
    </row>
    <row r="660" ht="14.25" customHeight="1">
      <c r="G660" s="52"/>
    </row>
    <row r="661" ht="14.25" customHeight="1">
      <c r="G661" s="52"/>
    </row>
    <row r="662" ht="14.25" customHeight="1">
      <c r="G662" s="52"/>
    </row>
    <row r="663" ht="14.25" customHeight="1">
      <c r="G663" s="52"/>
    </row>
    <row r="664" ht="14.25" customHeight="1">
      <c r="G664" s="52"/>
    </row>
    <row r="665" ht="14.25" customHeight="1">
      <c r="G665" s="52"/>
    </row>
    <row r="666" ht="14.25" customHeight="1">
      <c r="G666" s="52"/>
    </row>
    <row r="667" ht="14.25" customHeight="1">
      <c r="G667" s="52"/>
    </row>
    <row r="668" ht="14.25" customHeight="1">
      <c r="G668" s="52"/>
    </row>
    <row r="669" ht="14.25" customHeight="1">
      <c r="G669" s="52"/>
    </row>
    <row r="670" ht="14.25" customHeight="1">
      <c r="G670" s="52"/>
    </row>
    <row r="671" ht="14.25" customHeight="1">
      <c r="G671" s="52"/>
    </row>
    <row r="672" ht="14.25" customHeight="1">
      <c r="G672" s="52"/>
    </row>
    <row r="673" ht="14.25" customHeight="1">
      <c r="G673" s="52"/>
    </row>
    <row r="674" ht="14.25" customHeight="1">
      <c r="G674" s="52"/>
    </row>
    <row r="675" ht="14.25" customHeight="1">
      <c r="G675" s="52"/>
    </row>
    <row r="676" ht="14.25" customHeight="1">
      <c r="G676" s="52"/>
    </row>
    <row r="677" ht="14.25" customHeight="1">
      <c r="G677" s="52"/>
    </row>
    <row r="678" ht="14.25" customHeight="1">
      <c r="G678" s="52"/>
    </row>
    <row r="679" ht="14.25" customHeight="1">
      <c r="G679" s="52"/>
    </row>
    <row r="680" ht="14.25" customHeight="1">
      <c r="G680" s="52"/>
    </row>
    <row r="681" ht="14.25" customHeight="1">
      <c r="G681" s="52"/>
    </row>
    <row r="682" ht="14.25" customHeight="1">
      <c r="G682" s="52"/>
    </row>
    <row r="683" ht="14.25" customHeight="1">
      <c r="G683" s="52"/>
    </row>
    <row r="684" ht="14.25" customHeight="1">
      <c r="G684" s="52"/>
    </row>
    <row r="685" ht="14.25" customHeight="1">
      <c r="G685" s="52"/>
    </row>
    <row r="686" ht="14.25" customHeight="1">
      <c r="G686" s="52"/>
    </row>
    <row r="687" ht="14.25" customHeight="1">
      <c r="G687" s="52"/>
    </row>
    <row r="688" ht="14.25" customHeight="1">
      <c r="G688" s="52"/>
    </row>
    <row r="689" ht="14.25" customHeight="1">
      <c r="G689" s="52"/>
    </row>
    <row r="690" ht="14.25" customHeight="1">
      <c r="G690" s="52"/>
    </row>
    <row r="691" ht="14.25" customHeight="1">
      <c r="G691" s="52"/>
    </row>
    <row r="692" ht="14.25" customHeight="1">
      <c r="G692" s="52"/>
    </row>
    <row r="693" ht="14.25" customHeight="1">
      <c r="G693" s="52"/>
    </row>
    <row r="694" ht="14.25" customHeight="1">
      <c r="G694" s="52"/>
    </row>
    <row r="695" ht="14.25" customHeight="1">
      <c r="G695" s="52"/>
    </row>
    <row r="696" ht="14.25" customHeight="1">
      <c r="G696" s="52"/>
    </row>
    <row r="697" ht="14.25" customHeight="1">
      <c r="G697" s="52"/>
    </row>
    <row r="698" ht="14.25" customHeight="1">
      <c r="G698" s="52"/>
    </row>
    <row r="699" ht="14.25" customHeight="1">
      <c r="G699" s="52"/>
    </row>
    <row r="700" ht="14.25" customHeight="1">
      <c r="G700" s="52"/>
    </row>
    <row r="701" ht="14.25" customHeight="1">
      <c r="G701" s="52"/>
    </row>
    <row r="702" ht="14.25" customHeight="1">
      <c r="G702" s="52"/>
    </row>
    <row r="703" ht="14.25" customHeight="1">
      <c r="G703" s="52"/>
    </row>
    <row r="704" ht="14.25" customHeight="1">
      <c r="G704" s="52"/>
    </row>
    <row r="705" ht="14.25" customHeight="1">
      <c r="G705" s="52"/>
    </row>
    <row r="706" ht="14.25" customHeight="1">
      <c r="G706" s="52"/>
    </row>
    <row r="707" ht="14.25" customHeight="1">
      <c r="G707" s="52"/>
    </row>
    <row r="708" ht="14.25" customHeight="1">
      <c r="G708" s="52"/>
    </row>
    <row r="709" ht="14.25" customHeight="1">
      <c r="G709" s="52"/>
    </row>
    <row r="710" ht="14.25" customHeight="1">
      <c r="G710" s="52"/>
    </row>
    <row r="711" ht="14.25" customHeight="1">
      <c r="G711" s="52"/>
    </row>
    <row r="712" ht="14.25" customHeight="1">
      <c r="G712" s="52"/>
    </row>
    <row r="713" ht="14.25" customHeight="1">
      <c r="G713" s="52"/>
    </row>
    <row r="714" ht="14.25" customHeight="1">
      <c r="G714" s="52"/>
    </row>
    <row r="715" ht="14.25" customHeight="1">
      <c r="G715" s="52"/>
    </row>
    <row r="716" ht="14.25" customHeight="1">
      <c r="G716" s="52"/>
    </row>
    <row r="717" ht="14.25" customHeight="1">
      <c r="G717" s="52"/>
    </row>
    <row r="718" ht="14.25" customHeight="1">
      <c r="G718" s="52"/>
    </row>
    <row r="719" ht="14.25" customHeight="1">
      <c r="G719" s="52"/>
    </row>
    <row r="720" ht="14.25" customHeight="1">
      <c r="G720" s="52"/>
    </row>
    <row r="721" ht="14.25" customHeight="1">
      <c r="G721" s="52"/>
    </row>
    <row r="722" ht="14.25" customHeight="1">
      <c r="G722" s="52"/>
    </row>
    <row r="723" ht="14.25" customHeight="1">
      <c r="G723" s="52"/>
    </row>
    <row r="724" ht="14.25" customHeight="1">
      <c r="G724" s="52"/>
    </row>
    <row r="725" ht="14.25" customHeight="1">
      <c r="G725" s="52"/>
    </row>
    <row r="726" ht="14.25" customHeight="1">
      <c r="G726" s="52"/>
    </row>
    <row r="727" ht="14.25" customHeight="1">
      <c r="G727" s="52"/>
    </row>
    <row r="728" ht="14.25" customHeight="1">
      <c r="G728" s="52"/>
    </row>
    <row r="729" ht="14.25" customHeight="1">
      <c r="G729" s="52"/>
    </row>
    <row r="730" ht="14.25" customHeight="1">
      <c r="G730" s="52"/>
    </row>
    <row r="731" ht="14.25" customHeight="1">
      <c r="G731" s="52"/>
    </row>
    <row r="732" ht="14.25" customHeight="1">
      <c r="G732" s="52"/>
    </row>
    <row r="733" ht="14.25" customHeight="1">
      <c r="G733" s="52"/>
    </row>
    <row r="734" ht="14.25" customHeight="1">
      <c r="G734" s="52"/>
    </row>
    <row r="735" ht="14.25" customHeight="1">
      <c r="G735" s="52"/>
    </row>
    <row r="736" ht="14.25" customHeight="1">
      <c r="G736" s="52"/>
    </row>
    <row r="737" ht="14.25" customHeight="1">
      <c r="G737" s="52"/>
    </row>
    <row r="738" ht="14.25" customHeight="1">
      <c r="G738" s="52"/>
    </row>
    <row r="739" ht="14.25" customHeight="1">
      <c r="G739" s="52"/>
    </row>
    <row r="740" ht="14.25" customHeight="1">
      <c r="G740" s="52"/>
    </row>
    <row r="741" ht="14.25" customHeight="1">
      <c r="G741" s="52"/>
    </row>
    <row r="742" ht="14.25" customHeight="1">
      <c r="G742" s="52"/>
    </row>
    <row r="743" ht="14.25" customHeight="1">
      <c r="G743" s="52"/>
    </row>
    <row r="744" ht="14.25" customHeight="1">
      <c r="G744" s="52"/>
    </row>
    <row r="745" ht="14.25" customHeight="1">
      <c r="G745" s="52"/>
    </row>
    <row r="746" ht="14.25" customHeight="1">
      <c r="G746" s="52"/>
    </row>
    <row r="747" ht="14.25" customHeight="1">
      <c r="G747" s="52"/>
    </row>
    <row r="748" ht="14.25" customHeight="1">
      <c r="G748" s="52"/>
    </row>
    <row r="749" ht="14.25" customHeight="1">
      <c r="G749" s="52"/>
    </row>
    <row r="750" ht="14.25" customHeight="1">
      <c r="G750" s="52"/>
    </row>
    <row r="751" ht="14.25" customHeight="1">
      <c r="G751" s="52"/>
    </row>
    <row r="752" ht="14.25" customHeight="1">
      <c r="G752" s="52"/>
    </row>
    <row r="753" ht="14.25" customHeight="1">
      <c r="G753" s="52"/>
    </row>
    <row r="754" ht="14.25" customHeight="1">
      <c r="G754" s="52"/>
    </row>
    <row r="755" ht="14.25" customHeight="1">
      <c r="G755" s="52"/>
    </row>
    <row r="756" ht="14.25" customHeight="1">
      <c r="G756" s="52"/>
    </row>
    <row r="757" ht="14.25" customHeight="1">
      <c r="G757" s="52"/>
    </row>
    <row r="758" ht="14.25" customHeight="1">
      <c r="G758" s="52"/>
    </row>
    <row r="759" ht="14.25" customHeight="1">
      <c r="G759" s="52"/>
    </row>
    <row r="760" ht="14.25" customHeight="1">
      <c r="G760" s="52"/>
    </row>
    <row r="761" ht="14.25" customHeight="1">
      <c r="G761" s="52"/>
    </row>
    <row r="762" ht="14.25" customHeight="1">
      <c r="G762" s="52"/>
    </row>
    <row r="763" ht="14.25" customHeight="1">
      <c r="G763" s="52"/>
    </row>
    <row r="764" ht="14.25" customHeight="1">
      <c r="G764" s="52"/>
    </row>
    <row r="765" ht="14.25" customHeight="1">
      <c r="G765" s="52"/>
    </row>
    <row r="766" ht="14.25" customHeight="1">
      <c r="G766" s="52"/>
    </row>
    <row r="767" ht="14.25" customHeight="1">
      <c r="G767" s="52"/>
    </row>
    <row r="768" ht="14.25" customHeight="1">
      <c r="G768" s="52"/>
    </row>
    <row r="769" ht="14.25" customHeight="1">
      <c r="G769" s="52"/>
    </row>
    <row r="770" ht="14.25" customHeight="1">
      <c r="G770" s="52"/>
    </row>
    <row r="771" ht="14.25" customHeight="1">
      <c r="G771" s="52"/>
    </row>
    <row r="772" ht="14.25" customHeight="1">
      <c r="G772" s="52"/>
    </row>
    <row r="773" ht="14.25" customHeight="1">
      <c r="G773" s="52"/>
    </row>
    <row r="774" ht="14.25" customHeight="1">
      <c r="G774" s="52"/>
    </row>
    <row r="775" ht="14.25" customHeight="1">
      <c r="G775" s="52"/>
    </row>
    <row r="776" ht="14.25" customHeight="1">
      <c r="G776" s="52"/>
    </row>
    <row r="777" ht="14.25" customHeight="1">
      <c r="G777" s="52"/>
    </row>
    <row r="778" ht="14.25" customHeight="1">
      <c r="G778" s="52"/>
    </row>
    <row r="779" ht="14.25" customHeight="1">
      <c r="G779" s="52"/>
    </row>
    <row r="780" ht="14.25" customHeight="1">
      <c r="G780" s="52"/>
    </row>
    <row r="781" ht="14.25" customHeight="1">
      <c r="G781" s="52"/>
    </row>
    <row r="782" ht="14.25" customHeight="1">
      <c r="G782" s="52"/>
    </row>
    <row r="783" ht="14.25" customHeight="1">
      <c r="G783" s="52"/>
    </row>
    <row r="784" ht="14.25" customHeight="1">
      <c r="G784" s="52"/>
    </row>
    <row r="785" ht="14.25" customHeight="1">
      <c r="G785" s="52"/>
    </row>
    <row r="786" ht="14.25" customHeight="1">
      <c r="G786" s="52"/>
    </row>
    <row r="787" ht="14.25" customHeight="1">
      <c r="G787" s="52"/>
    </row>
    <row r="788" ht="14.25" customHeight="1">
      <c r="G788" s="52"/>
    </row>
    <row r="789" ht="14.25" customHeight="1">
      <c r="G789" s="52"/>
    </row>
    <row r="790" ht="14.25" customHeight="1">
      <c r="G790" s="52"/>
    </row>
    <row r="791" ht="14.25" customHeight="1">
      <c r="G791" s="52"/>
    </row>
    <row r="792" ht="14.25" customHeight="1">
      <c r="G792" s="52"/>
    </row>
    <row r="793" ht="14.25" customHeight="1">
      <c r="G793" s="52"/>
    </row>
    <row r="794" ht="14.25" customHeight="1">
      <c r="G794" s="52"/>
    </row>
    <row r="795" ht="14.25" customHeight="1">
      <c r="G795" s="52"/>
    </row>
    <row r="796" ht="14.25" customHeight="1">
      <c r="G796" s="52"/>
    </row>
    <row r="797" ht="14.25" customHeight="1">
      <c r="G797" s="52"/>
    </row>
    <row r="798" ht="14.25" customHeight="1">
      <c r="G798" s="52"/>
    </row>
    <row r="799" ht="14.25" customHeight="1">
      <c r="G799" s="52"/>
    </row>
    <row r="800" ht="14.25" customHeight="1">
      <c r="G800" s="52"/>
    </row>
    <row r="801" ht="14.25" customHeight="1">
      <c r="G801" s="52"/>
    </row>
    <row r="802" ht="14.25" customHeight="1">
      <c r="G802" s="52"/>
    </row>
    <row r="803" ht="14.25" customHeight="1">
      <c r="G803" s="52"/>
    </row>
    <row r="804" ht="14.25" customHeight="1">
      <c r="G804" s="52"/>
    </row>
    <row r="805" ht="14.25" customHeight="1">
      <c r="G805" s="52"/>
    </row>
    <row r="806" ht="14.25" customHeight="1">
      <c r="G806" s="52"/>
    </row>
    <row r="807" ht="14.25" customHeight="1">
      <c r="G807" s="52"/>
    </row>
    <row r="808" ht="14.25" customHeight="1">
      <c r="G808" s="52"/>
    </row>
    <row r="809" ht="14.25" customHeight="1">
      <c r="G809" s="52"/>
    </row>
    <row r="810" ht="14.25" customHeight="1">
      <c r="G810" s="52"/>
    </row>
    <row r="811" ht="14.25" customHeight="1">
      <c r="G811" s="52"/>
    </row>
    <row r="812" ht="14.25" customHeight="1">
      <c r="G812" s="52"/>
    </row>
    <row r="813" ht="14.25" customHeight="1">
      <c r="G813" s="52"/>
    </row>
    <row r="814" ht="14.25" customHeight="1">
      <c r="G814" s="52"/>
    </row>
    <row r="815" ht="14.25" customHeight="1">
      <c r="G815" s="52"/>
    </row>
    <row r="816" ht="14.25" customHeight="1">
      <c r="G816" s="52"/>
    </row>
    <row r="817" ht="14.25" customHeight="1">
      <c r="G817" s="52"/>
    </row>
    <row r="818" ht="14.25" customHeight="1">
      <c r="G818" s="52"/>
    </row>
    <row r="819" ht="14.25" customHeight="1">
      <c r="G819" s="52"/>
    </row>
    <row r="820" ht="14.25" customHeight="1">
      <c r="G820" s="52"/>
    </row>
    <row r="821" ht="14.25" customHeight="1">
      <c r="G821" s="52"/>
    </row>
    <row r="822" ht="14.25" customHeight="1">
      <c r="G822" s="52"/>
    </row>
    <row r="823" ht="14.25" customHeight="1">
      <c r="G823" s="52"/>
    </row>
    <row r="824" ht="14.25" customHeight="1">
      <c r="G824" s="52"/>
    </row>
    <row r="825" ht="14.25" customHeight="1">
      <c r="G825" s="52"/>
    </row>
    <row r="826" ht="14.25" customHeight="1">
      <c r="G826" s="52"/>
    </row>
    <row r="827" ht="14.25" customHeight="1">
      <c r="G827" s="52"/>
    </row>
    <row r="828" ht="14.25" customHeight="1">
      <c r="G828" s="52"/>
    </row>
    <row r="829" ht="14.25" customHeight="1">
      <c r="G829" s="52"/>
    </row>
    <row r="830" ht="14.25" customHeight="1">
      <c r="G830" s="52"/>
    </row>
    <row r="831" ht="14.25" customHeight="1">
      <c r="G831" s="52"/>
    </row>
    <row r="832" ht="14.25" customHeight="1">
      <c r="G832" s="52"/>
    </row>
    <row r="833" ht="14.25" customHeight="1">
      <c r="G833" s="52"/>
    </row>
    <row r="834" ht="14.25" customHeight="1">
      <c r="G834" s="52"/>
    </row>
    <row r="835" ht="14.25" customHeight="1">
      <c r="G835" s="52"/>
    </row>
    <row r="836" ht="14.25" customHeight="1">
      <c r="G836" s="52"/>
    </row>
    <row r="837" ht="14.25" customHeight="1">
      <c r="G837" s="52"/>
    </row>
    <row r="838" ht="14.25" customHeight="1">
      <c r="G838" s="52"/>
    </row>
    <row r="839" ht="14.25" customHeight="1">
      <c r="G839" s="52"/>
    </row>
    <row r="840" ht="14.25" customHeight="1">
      <c r="G840" s="52"/>
    </row>
    <row r="841" ht="14.25" customHeight="1">
      <c r="G841" s="52"/>
    </row>
    <row r="842" ht="14.25" customHeight="1">
      <c r="G842" s="52"/>
    </row>
    <row r="843" ht="14.25" customHeight="1">
      <c r="G843" s="52"/>
    </row>
    <row r="844" ht="14.25" customHeight="1">
      <c r="G844" s="52"/>
    </row>
    <row r="845" ht="14.25" customHeight="1">
      <c r="G845" s="52"/>
    </row>
    <row r="846" ht="14.25" customHeight="1">
      <c r="G846" s="52"/>
    </row>
    <row r="847" ht="14.25" customHeight="1">
      <c r="G847" s="52"/>
    </row>
    <row r="848" ht="14.25" customHeight="1">
      <c r="G848" s="52"/>
    </row>
    <row r="849" ht="14.25" customHeight="1">
      <c r="G849" s="52"/>
    </row>
    <row r="850" ht="14.25" customHeight="1">
      <c r="G850" s="52"/>
    </row>
    <row r="851" ht="14.25" customHeight="1">
      <c r="G851" s="52"/>
    </row>
    <row r="852" ht="14.25" customHeight="1">
      <c r="G852" s="52"/>
    </row>
    <row r="853" ht="14.25" customHeight="1">
      <c r="G853" s="52"/>
    </row>
    <row r="854" ht="14.25" customHeight="1">
      <c r="G854" s="52"/>
    </row>
    <row r="855" ht="14.25" customHeight="1">
      <c r="G855" s="52"/>
    </row>
    <row r="856" ht="14.25" customHeight="1">
      <c r="G856" s="52"/>
    </row>
    <row r="857" ht="14.25" customHeight="1">
      <c r="G857" s="52"/>
    </row>
    <row r="858" ht="14.25" customHeight="1">
      <c r="G858" s="52"/>
    </row>
    <row r="859" ht="14.25" customHeight="1">
      <c r="G859" s="52"/>
    </row>
    <row r="860" ht="14.25" customHeight="1">
      <c r="G860" s="52"/>
    </row>
    <row r="861" ht="14.25" customHeight="1">
      <c r="G861" s="52"/>
    </row>
    <row r="862" ht="14.25" customHeight="1">
      <c r="G862" s="52"/>
    </row>
    <row r="863" ht="14.25" customHeight="1">
      <c r="G863" s="52"/>
    </row>
    <row r="864" ht="14.25" customHeight="1">
      <c r="G864" s="52"/>
    </row>
    <row r="865" ht="14.25" customHeight="1">
      <c r="G865" s="52"/>
    </row>
    <row r="866" ht="14.25" customHeight="1">
      <c r="G866" s="52"/>
    </row>
    <row r="867" ht="14.25" customHeight="1">
      <c r="G867" s="52"/>
    </row>
    <row r="868" ht="14.25" customHeight="1">
      <c r="G868" s="52"/>
    </row>
    <row r="869" ht="14.25" customHeight="1">
      <c r="G869" s="52"/>
    </row>
    <row r="870" ht="14.25" customHeight="1">
      <c r="G870" s="52"/>
    </row>
    <row r="871" ht="14.25" customHeight="1">
      <c r="G871" s="52"/>
    </row>
    <row r="872" ht="14.25" customHeight="1">
      <c r="G872" s="52"/>
    </row>
    <row r="873" ht="14.25" customHeight="1">
      <c r="G873" s="52"/>
    </row>
    <row r="874" ht="14.25" customHeight="1">
      <c r="G874" s="52"/>
    </row>
    <row r="875" ht="14.25" customHeight="1">
      <c r="G875" s="52"/>
    </row>
    <row r="876" ht="14.25" customHeight="1">
      <c r="G876" s="52"/>
    </row>
    <row r="877" ht="14.25" customHeight="1">
      <c r="G877" s="52"/>
    </row>
    <row r="878" ht="14.25" customHeight="1">
      <c r="G878" s="52"/>
    </row>
    <row r="879" ht="14.25" customHeight="1">
      <c r="G879" s="52"/>
    </row>
    <row r="880" ht="14.25" customHeight="1">
      <c r="G880" s="52"/>
    </row>
    <row r="881" ht="14.25" customHeight="1">
      <c r="G881" s="52"/>
    </row>
    <row r="882" ht="14.25" customHeight="1">
      <c r="G882" s="52"/>
    </row>
    <row r="883" ht="14.25" customHeight="1">
      <c r="G883" s="52"/>
    </row>
    <row r="884" ht="14.25" customHeight="1">
      <c r="G884" s="52"/>
    </row>
    <row r="885" ht="14.25" customHeight="1">
      <c r="G885" s="52"/>
    </row>
    <row r="886" ht="14.25" customHeight="1">
      <c r="G886" s="52"/>
    </row>
    <row r="887" ht="14.25" customHeight="1">
      <c r="G887" s="52"/>
    </row>
    <row r="888" ht="14.25" customHeight="1">
      <c r="G888" s="52"/>
    </row>
    <row r="889" ht="14.25" customHeight="1">
      <c r="G889" s="52"/>
    </row>
    <row r="890" ht="14.25" customHeight="1">
      <c r="G890" s="52"/>
    </row>
    <row r="891" ht="14.25" customHeight="1">
      <c r="G891" s="52"/>
    </row>
    <row r="892" ht="14.25" customHeight="1">
      <c r="G892" s="52"/>
    </row>
    <row r="893" ht="14.25" customHeight="1">
      <c r="G893" s="52"/>
    </row>
    <row r="894" ht="14.25" customHeight="1">
      <c r="G894" s="52"/>
    </row>
    <row r="895" ht="14.25" customHeight="1">
      <c r="G895" s="52"/>
    </row>
    <row r="896" ht="14.25" customHeight="1">
      <c r="G896" s="52"/>
    </row>
    <row r="897" ht="14.25" customHeight="1">
      <c r="G897" s="52"/>
    </row>
    <row r="898" ht="14.25" customHeight="1">
      <c r="G898" s="52"/>
    </row>
    <row r="899" ht="14.25" customHeight="1">
      <c r="G899" s="52"/>
    </row>
    <row r="900" ht="14.25" customHeight="1">
      <c r="G900" s="52"/>
    </row>
    <row r="901" ht="14.25" customHeight="1">
      <c r="G901" s="52"/>
    </row>
    <row r="902" ht="14.25" customHeight="1">
      <c r="G902" s="52"/>
    </row>
    <row r="903" ht="14.25" customHeight="1">
      <c r="G903" s="52"/>
    </row>
    <row r="904" ht="14.25" customHeight="1">
      <c r="G904" s="52"/>
    </row>
    <row r="905" ht="14.25" customHeight="1">
      <c r="G905" s="52"/>
    </row>
    <row r="906" ht="14.25" customHeight="1">
      <c r="G906" s="52"/>
    </row>
    <row r="907" ht="14.25" customHeight="1">
      <c r="G907" s="52"/>
    </row>
    <row r="908" ht="14.25" customHeight="1">
      <c r="G908" s="52"/>
    </row>
    <row r="909" ht="14.25" customHeight="1">
      <c r="G909" s="52"/>
    </row>
    <row r="910" ht="14.25" customHeight="1">
      <c r="G910" s="52"/>
    </row>
    <row r="911" ht="14.25" customHeight="1">
      <c r="G911" s="52"/>
    </row>
    <row r="912" ht="14.25" customHeight="1">
      <c r="G912" s="52"/>
    </row>
    <row r="913" ht="14.25" customHeight="1">
      <c r="G913" s="52"/>
    </row>
    <row r="914" ht="14.25" customHeight="1">
      <c r="G914" s="52"/>
    </row>
    <row r="915" ht="14.25" customHeight="1">
      <c r="G915" s="52"/>
    </row>
    <row r="916" ht="14.25" customHeight="1">
      <c r="G916" s="52"/>
    </row>
    <row r="917" ht="14.25" customHeight="1">
      <c r="G917" s="52"/>
    </row>
    <row r="918" ht="14.25" customHeight="1">
      <c r="G918" s="52"/>
    </row>
    <row r="919" ht="14.25" customHeight="1">
      <c r="G919" s="52"/>
    </row>
    <row r="920" ht="14.25" customHeight="1">
      <c r="G920" s="52"/>
    </row>
    <row r="921" ht="14.25" customHeight="1">
      <c r="G921" s="52"/>
    </row>
    <row r="922" ht="14.25" customHeight="1">
      <c r="G922" s="52"/>
    </row>
    <row r="923" ht="14.25" customHeight="1">
      <c r="G923" s="52"/>
    </row>
    <row r="924" ht="14.25" customHeight="1">
      <c r="G924" s="52"/>
    </row>
    <row r="925" ht="14.25" customHeight="1">
      <c r="G925" s="52"/>
    </row>
    <row r="926" ht="14.25" customHeight="1">
      <c r="G926" s="52"/>
    </row>
    <row r="927" ht="14.25" customHeight="1">
      <c r="G927" s="52"/>
    </row>
    <row r="928" ht="14.25" customHeight="1">
      <c r="G928" s="52"/>
    </row>
    <row r="929" ht="14.25" customHeight="1">
      <c r="G929" s="52"/>
    </row>
    <row r="930" ht="14.25" customHeight="1">
      <c r="G930" s="52"/>
    </row>
    <row r="931" ht="14.25" customHeight="1">
      <c r="G931" s="52"/>
    </row>
    <row r="932" ht="14.25" customHeight="1">
      <c r="G932" s="52"/>
    </row>
    <row r="933" ht="14.25" customHeight="1">
      <c r="G933" s="52"/>
    </row>
    <row r="934" ht="14.25" customHeight="1">
      <c r="G934" s="52"/>
    </row>
    <row r="935" ht="14.25" customHeight="1">
      <c r="G935" s="52"/>
    </row>
    <row r="936" ht="14.25" customHeight="1">
      <c r="G936" s="52"/>
    </row>
    <row r="937" ht="14.25" customHeight="1">
      <c r="G937" s="52"/>
    </row>
    <row r="938" ht="14.25" customHeight="1">
      <c r="G938" s="52"/>
    </row>
    <row r="939" ht="14.25" customHeight="1">
      <c r="G939" s="52"/>
    </row>
    <row r="940" ht="14.25" customHeight="1">
      <c r="G940" s="52"/>
    </row>
    <row r="941" ht="14.25" customHeight="1">
      <c r="G941" s="52"/>
    </row>
    <row r="942" ht="14.25" customHeight="1">
      <c r="G942" s="52"/>
    </row>
    <row r="943" ht="14.25" customHeight="1">
      <c r="G943" s="52"/>
    </row>
    <row r="944" ht="14.25" customHeight="1">
      <c r="G944" s="52"/>
    </row>
    <row r="945" ht="14.25" customHeight="1">
      <c r="G945" s="52"/>
    </row>
    <row r="946" ht="14.25" customHeight="1">
      <c r="G946" s="52"/>
    </row>
    <row r="947" ht="14.25" customHeight="1">
      <c r="G947" s="52"/>
    </row>
    <row r="948" ht="14.25" customHeight="1">
      <c r="G948" s="52"/>
    </row>
    <row r="949" ht="14.25" customHeight="1">
      <c r="G949" s="52"/>
    </row>
    <row r="950" ht="14.25" customHeight="1">
      <c r="G950" s="52"/>
    </row>
    <row r="951" ht="14.25" customHeight="1">
      <c r="G951" s="52"/>
    </row>
    <row r="952" ht="14.25" customHeight="1">
      <c r="G952" s="52"/>
    </row>
    <row r="953" ht="14.25" customHeight="1">
      <c r="G953" s="52"/>
    </row>
    <row r="954" ht="14.25" customHeight="1">
      <c r="G954" s="52"/>
    </row>
    <row r="955" ht="14.25" customHeight="1">
      <c r="G955" s="52"/>
    </row>
    <row r="956" ht="14.25" customHeight="1">
      <c r="G956" s="52"/>
    </row>
    <row r="957" ht="14.25" customHeight="1">
      <c r="G957" s="52"/>
    </row>
    <row r="958" ht="14.25" customHeight="1">
      <c r="G958" s="52"/>
    </row>
    <row r="959" ht="14.25" customHeight="1">
      <c r="G959" s="52"/>
    </row>
    <row r="960" ht="14.25" customHeight="1">
      <c r="G960" s="52"/>
    </row>
    <row r="961" ht="14.25" customHeight="1">
      <c r="G961" s="52"/>
    </row>
    <row r="962" ht="14.25" customHeight="1">
      <c r="G962" s="52"/>
    </row>
    <row r="963" ht="14.25" customHeight="1">
      <c r="G963" s="52"/>
    </row>
    <row r="964" ht="14.25" customHeight="1">
      <c r="G964" s="52"/>
    </row>
    <row r="965" ht="14.25" customHeight="1">
      <c r="G965" s="52"/>
    </row>
    <row r="966" ht="14.25" customHeight="1">
      <c r="G966" s="52"/>
    </row>
    <row r="967" ht="14.25" customHeight="1">
      <c r="G967" s="52"/>
    </row>
    <row r="968" ht="14.25" customHeight="1">
      <c r="G968" s="52"/>
    </row>
    <row r="969" ht="14.25" customHeight="1">
      <c r="G969" s="52"/>
    </row>
    <row r="970" ht="14.25" customHeight="1">
      <c r="G970" s="52"/>
    </row>
    <row r="971" ht="14.25" customHeight="1">
      <c r="G971" s="52"/>
    </row>
    <row r="972" ht="14.25" customHeight="1">
      <c r="G972" s="52"/>
    </row>
    <row r="973" ht="14.25" customHeight="1">
      <c r="G973" s="52"/>
    </row>
    <row r="974" ht="14.25" customHeight="1">
      <c r="G974" s="52"/>
    </row>
    <row r="975" ht="14.25" customHeight="1">
      <c r="G975" s="52"/>
    </row>
    <row r="976" ht="14.25" customHeight="1">
      <c r="G976" s="52"/>
    </row>
    <row r="977" ht="14.25" customHeight="1">
      <c r="G977" s="52"/>
    </row>
    <row r="978" ht="14.25" customHeight="1">
      <c r="G978" s="52"/>
    </row>
    <row r="979" ht="14.25" customHeight="1">
      <c r="G979" s="52"/>
    </row>
    <row r="980" ht="14.25" customHeight="1">
      <c r="G980" s="52"/>
    </row>
    <row r="981" ht="14.25" customHeight="1">
      <c r="G981" s="52"/>
    </row>
    <row r="982" ht="14.25" customHeight="1">
      <c r="G982" s="52"/>
    </row>
    <row r="983" ht="14.25" customHeight="1">
      <c r="G983" s="52"/>
    </row>
    <row r="984" ht="14.25" customHeight="1">
      <c r="G984" s="52"/>
    </row>
    <row r="985" ht="14.25" customHeight="1">
      <c r="G985" s="52"/>
    </row>
    <row r="986" ht="14.25" customHeight="1">
      <c r="G986" s="52"/>
    </row>
    <row r="987" ht="14.25" customHeight="1">
      <c r="G987" s="52"/>
    </row>
    <row r="988" ht="14.25" customHeight="1">
      <c r="G988" s="52"/>
    </row>
    <row r="989" ht="14.25" customHeight="1">
      <c r="G989" s="52"/>
    </row>
    <row r="990" ht="14.25" customHeight="1">
      <c r="G990" s="52"/>
    </row>
    <row r="991" ht="14.25" customHeight="1">
      <c r="G991" s="52"/>
    </row>
    <row r="992" ht="14.25" customHeight="1">
      <c r="G992" s="52"/>
    </row>
    <row r="993" ht="14.25" customHeight="1">
      <c r="G993" s="52"/>
    </row>
    <row r="994" ht="14.25" customHeight="1">
      <c r="G994" s="52"/>
    </row>
    <row r="995" ht="14.25" customHeight="1">
      <c r="G995" s="52"/>
    </row>
    <row r="996" ht="14.25" customHeight="1">
      <c r="G996" s="52"/>
    </row>
    <row r="997" ht="14.25" customHeight="1">
      <c r="G997" s="52"/>
    </row>
    <row r="998" ht="14.25" customHeight="1">
      <c r="G998" s="52"/>
    </row>
    <row r="999" ht="14.25" customHeight="1">
      <c r="G999" s="52"/>
    </row>
    <row r="1000" ht="14.25" customHeight="1">
      <c r="G1000" s="52"/>
    </row>
  </sheetData>
  <mergeCells count="18">
    <mergeCell ref="B2:B4"/>
    <mergeCell ref="C2:F4"/>
    <mergeCell ref="C5:F5"/>
    <mergeCell ref="C6:F6"/>
    <mergeCell ref="C7:E7"/>
    <mergeCell ref="C8:F8"/>
    <mergeCell ref="C9:F9"/>
    <mergeCell ref="D17:F17"/>
    <mergeCell ref="B20:G20"/>
    <mergeCell ref="B56:G56"/>
    <mergeCell ref="B57:H57"/>
    <mergeCell ref="C10:F10"/>
    <mergeCell ref="C11:F11"/>
    <mergeCell ref="B12:F12"/>
    <mergeCell ref="C13:F13"/>
    <mergeCell ref="C14:F14"/>
    <mergeCell ref="D15:F15"/>
    <mergeCell ref="D16:F16"/>
  </mergeCells>
  <conditionalFormatting sqref="F22:F53">
    <cfRule type="cellIs" dxfId="0" priority="1" operator="equal">
      <formula>0</formula>
    </cfRule>
  </conditionalFormatting>
  <printOptions/>
  <pageMargins bottom="0.7480314960629921" footer="0.0" header="0.0" left="0.2362204724409449" right="0.2362204724409449" top="0.6845238095238095"/>
  <pageSetup paperSize="9" scale="50" orientation="portrait"/>
  <headerFooter>
    <oddFooter>&amp;LAnexo 2 - MS- 0028921_Rev.04 - Ensaio de Metais extraíveis.&amp;RPágina &amp;P de 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21.29"/>
    <col customWidth="1" min="3" max="3" width="21.57"/>
    <col customWidth="1" min="4" max="4" width="22.43"/>
    <col customWidth="1" min="5" max="5" width="23.57"/>
    <col customWidth="1" min="6" max="6" width="22.43"/>
    <col customWidth="1" min="7" max="7" width="25.0"/>
    <col customWidth="1" min="8" max="8" width="21.14"/>
    <col customWidth="1" min="9" max="9" width="21.71"/>
    <col customWidth="1" min="10" max="10" width="2.86"/>
    <col customWidth="1" min="11" max="12" width="9.14"/>
    <col customWidth="1" min="13" max="13" width="12.43"/>
    <col customWidth="1" min="14" max="26" width="8.71"/>
  </cols>
  <sheetData>
    <row r="1" ht="14.25" customHeight="1">
      <c r="A1" s="24"/>
    </row>
    <row r="2" ht="14.25" customHeight="1">
      <c r="A2" s="24"/>
      <c r="B2" s="90"/>
      <c r="C2" s="4"/>
      <c r="D2" s="3" t="s">
        <v>55</v>
      </c>
      <c r="E2" s="53"/>
      <c r="F2" s="53"/>
      <c r="G2" s="4"/>
      <c r="H2" s="91"/>
    </row>
    <row r="3" ht="14.25" customHeight="1">
      <c r="A3" s="24"/>
      <c r="B3" s="6"/>
      <c r="C3" s="7"/>
      <c r="D3" s="6"/>
      <c r="G3" s="7"/>
      <c r="H3" s="91"/>
    </row>
    <row r="4" ht="15.0" customHeight="1">
      <c r="A4" s="24"/>
      <c r="B4" s="9"/>
      <c r="C4" s="10"/>
      <c r="D4" s="9"/>
      <c r="E4" s="55"/>
      <c r="F4" s="55"/>
      <c r="G4" s="10"/>
      <c r="H4" s="91"/>
    </row>
    <row r="5" ht="14.25" customHeight="1">
      <c r="A5" s="24"/>
      <c r="B5" s="14" t="s">
        <v>1</v>
      </c>
      <c r="C5" s="13"/>
      <c r="D5" s="12"/>
      <c r="E5" s="18"/>
      <c r="F5" s="18"/>
      <c r="G5" s="13"/>
      <c r="H5" s="92"/>
    </row>
    <row r="6" ht="14.25" customHeight="1">
      <c r="A6" s="24"/>
      <c r="B6" s="14" t="s">
        <v>2</v>
      </c>
      <c r="C6" s="13"/>
      <c r="D6" s="14"/>
      <c r="E6" s="18"/>
      <c r="F6" s="18"/>
      <c r="G6" s="13"/>
      <c r="H6" s="93"/>
    </row>
    <row r="7" ht="25.5" customHeight="1">
      <c r="A7" s="24"/>
      <c r="B7" s="94" t="s">
        <v>3</v>
      </c>
      <c r="C7" s="13"/>
      <c r="D7" s="95" t="s">
        <v>56</v>
      </c>
      <c r="E7" s="18"/>
      <c r="F7" s="18"/>
      <c r="G7" s="13"/>
      <c r="H7" s="93"/>
    </row>
    <row r="8" ht="14.25" customHeight="1">
      <c r="A8" s="24"/>
      <c r="B8" s="14" t="s">
        <v>5</v>
      </c>
      <c r="C8" s="13"/>
      <c r="D8" s="14"/>
      <c r="E8" s="18"/>
      <c r="F8" s="18"/>
      <c r="G8" s="13"/>
      <c r="H8" s="93"/>
    </row>
    <row r="9" ht="14.25" customHeight="1">
      <c r="A9" s="24"/>
      <c r="B9" s="14" t="s">
        <v>6</v>
      </c>
      <c r="C9" s="13"/>
      <c r="D9" s="14" t="str">
        <f>'MS- 0028921 Limpeza'!C9</f>
        <v>Agulha hipodérmica estéril para uso único</v>
      </c>
      <c r="E9" s="18"/>
      <c r="F9" s="18"/>
      <c r="G9" s="13"/>
      <c r="H9" s="93"/>
    </row>
    <row r="10" ht="14.25" customHeight="1">
      <c r="A10" s="24"/>
      <c r="B10" s="14" t="s">
        <v>8</v>
      </c>
      <c r="C10" s="13"/>
      <c r="D10" s="16"/>
      <c r="E10" s="18"/>
      <c r="F10" s="18"/>
      <c r="G10" s="13"/>
      <c r="H10" s="93"/>
    </row>
    <row r="11" ht="29.25" customHeight="1">
      <c r="A11" s="24"/>
      <c r="B11" s="94" t="s">
        <v>9</v>
      </c>
      <c r="C11" s="13"/>
      <c r="D11" s="96" t="s">
        <v>57</v>
      </c>
      <c r="E11" s="18"/>
      <c r="F11" s="18"/>
      <c r="G11" s="13"/>
      <c r="H11" s="93"/>
    </row>
    <row r="12" ht="14.25" customHeight="1">
      <c r="A12" s="24"/>
      <c r="B12" s="97" t="s">
        <v>58</v>
      </c>
      <c r="C12" s="18"/>
      <c r="D12" s="18"/>
      <c r="E12" s="18"/>
      <c r="F12" s="18"/>
      <c r="G12" s="13"/>
      <c r="H12" s="98"/>
    </row>
    <row r="13" ht="15.0" customHeight="1">
      <c r="A13" s="24"/>
      <c r="B13" s="99" t="s">
        <v>11</v>
      </c>
      <c r="C13" s="4"/>
      <c r="D13" s="100" t="s">
        <v>59</v>
      </c>
      <c r="E13" s="53"/>
      <c r="F13" s="53"/>
      <c r="G13" s="4"/>
      <c r="H13" s="93"/>
    </row>
    <row r="14" ht="28.5" customHeight="1">
      <c r="A14" s="24"/>
      <c r="B14" s="9"/>
      <c r="C14" s="10"/>
      <c r="D14" s="9"/>
      <c r="E14" s="55"/>
      <c r="F14" s="55"/>
      <c r="G14" s="10"/>
      <c r="H14" s="93"/>
    </row>
    <row r="15" ht="14.25" customHeight="1">
      <c r="A15" s="24"/>
      <c r="B15" s="14" t="s">
        <v>13</v>
      </c>
      <c r="C15" s="13"/>
      <c r="D15" s="20"/>
      <c r="E15" s="18"/>
      <c r="F15" s="18"/>
      <c r="G15" s="13"/>
      <c r="H15" s="93"/>
    </row>
    <row r="16" ht="14.25" customHeight="1">
      <c r="A16" s="24"/>
      <c r="B16" s="14" t="s">
        <v>14</v>
      </c>
      <c r="C16" s="13"/>
      <c r="D16" s="14" t="s">
        <v>15</v>
      </c>
      <c r="E16" s="13"/>
      <c r="F16" s="14" t="s">
        <v>60</v>
      </c>
      <c r="G16" s="13"/>
      <c r="H16" s="93"/>
    </row>
    <row r="17" ht="14.25" customHeight="1">
      <c r="A17" s="24"/>
      <c r="C17" s="52"/>
      <c r="D17" s="52"/>
      <c r="E17" s="52"/>
      <c r="F17" s="52"/>
    </row>
    <row r="18" ht="14.25" customHeight="1">
      <c r="A18" s="24"/>
      <c r="B18" s="101" t="s">
        <v>61</v>
      </c>
      <c r="C18" s="101" t="s">
        <v>62</v>
      </c>
      <c r="D18" s="101" t="s">
        <v>63</v>
      </c>
      <c r="E18" s="101" t="s">
        <v>64</v>
      </c>
      <c r="F18" s="101" t="s">
        <v>65</v>
      </c>
      <c r="G18" s="101" t="s">
        <v>66</v>
      </c>
      <c r="H18" s="101" t="s">
        <v>67</v>
      </c>
      <c r="I18" s="101" t="s">
        <v>68</v>
      </c>
    </row>
    <row r="19" ht="14.25" customHeight="1">
      <c r="A19" s="24">
        <v>1.0</v>
      </c>
      <c r="B19" s="11"/>
      <c r="C19" s="25"/>
      <c r="D19" s="11"/>
      <c r="E19" s="11"/>
      <c r="F19" s="11"/>
      <c r="G19" s="11"/>
      <c r="H19" s="25"/>
      <c r="I19" s="102"/>
      <c r="K19" s="93"/>
      <c r="L19" s="92"/>
      <c r="M19" s="92"/>
    </row>
    <row r="20" ht="14.25" customHeight="1">
      <c r="A20" s="24">
        <v>2.0</v>
      </c>
      <c r="B20" s="11"/>
      <c r="C20" s="25"/>
      <c r="D20" s="11"/>
      <c r="E20" s="11"/>
      <c r="F20" s="11"/>
      <c r="G20" s="11"/>
      <c r="H20" s="103"/>
      <c r="I20" s="102"/>
      <c r="K20" s="93"/>
      <c r="L20" s="104"/>
      <c r="M20" s="92"/>
    </row>
    <row r="21" ht="14.25" customHeight="1">
      <c r="A21" s="24">
        <v>3.0</v>
      </c>
      <c r="B21" s="11"/>
      <c r="C21" s="25"/>
      <c r="D21" s="11"/>
      <c r="E21" s="11"/>
      <c r="F21" s="11"/>
      <c r="G21" s="11"/>
      <c r="H21" s="103"/>
      <c r="I21" s="102"/>
      <c r="K21" s="93"/>
      <c r="L21" s="104"/>
      <c r="M21" s="92"/>
    </row>
    <row r="22" ht="14.25" customHeight="1">
      <c r="A22" s="24">
        <v>4.0</v>
      </c>
      <c r="B22" s="11"/>
      <c r="C22" s="25"/>
      <c r="D22" s="11"/>
      <c r="E22" s="11"/>
      <c r="F22" s="11"/>
      <c r="G22" s="11"/>
      <c r="H22" s="103"/>
      <c r="I22" s="102"/>
      <c r="K22" s="93"/>
      <c r="L22" s="92"/>
      <c r="M22" s="92"/>
    </row>
    <row r="23" ht="14.25" customHeight="1">
      <c r="A23" s="24">
        <v>5.0</v>
      </c>
      <c r="B23" s="11"/>
      <c r="C23" s="25"/>
      <c r="D23" s="11"/>
      <c r="E23" s="11"/>
      <c r="F23" s="11"/>
      <c r="G23" s="11"/>
      <c r="H23" s="103"/>
      <c r="I23" s="102"/>
      <c r="K23" s="105"/>
      <c r="M23" s="92"/>
    </row>
    <row r="24" ht="14.25" customHeight="1">
      <c r="A24" s="24">
        <v>6.0</v>
      </c>
      <c r="B24" s="11"/>
      <c r="C24" s="25"/>
      <c r="D24" s="11"/>
      <c r="E24" s="11"/>
      <c r="F24" s="11"/>
      <c r="G24" s="11"/>
      <c r="H24" s="103"/>
      <c r="I24" s="102"/>
      <c r="K24" s="105"/>
    </row>
    <row r="25" ht="14.25" customHeight="1">
      <c r="A25" s="24">
        <v>7.0</v>
      </c>
      <c r="B25" s="11"/>
      <c r="C25" s="25"/>
      <c r="D25" s="11"/>
      <c r="E25" s="11"/>
      <c r="F25" s="11"/>
      <c r="G25" s="11"/>
      <c r="H25" s="103"/>
      <c r="I25" s="102"/>
      <c r="K25" s="105"/>
    </row>
    <row r="26" ht="14.25" customHeight="1">
      <c r="A26" s="24">
        <v>8.0</v>
      </c>
      <c r="B26" s="11"/>
      <c r="C26" s="25"/>
      <c r="D26" s="11"/>
      <c r="E26" s="11"/>
      <c r="F26" s="11"/>
      <c r="G26" s="11"/>
      <c r="H26" s="103"/>
      <c r="I26" s="102"/>
    </row>
    <row r="27" ht="14.25" customHeight="1">
      <c r="A27" s="24">
        <v>9.0</v>
      </c>
      <c r="B27" s="11"/>
      <c r="C27" s="25"/>
      <c r="D27" s="11"/>
      <c r="E27" s="11"/>
      <c r="F27" s="11"/>
      <c r="G27" s="11"/>
      <c r="H27" s="103"/>
      <c r="I27" s="102"/>
    </row>
    <row r="28" ht="14.25" customHeight="1">
      <c r="A28" s="24">
        <v>10.0</v>
      </c>
      <c r="B28" s="11"/>
      <c r="C28" s="25"/>
      <c r="D28" s="11"/>
      <c r="E28" s="11"/>
      <c r="F28" s="11"/>
      <c r="G28" s="11"/>
      <c r="H28" s="103"/>
      <c r="I28" s="102"/>
    </row>
    <row r="29" ht="14.25" customHeight="1">
      <c r="A29" s="24">
        <v>11.0</v>
      </c>
      <c r="B29" s="11"/>
      <c r="C29" s="25"/>
      <c r="D29" s="11"/>
      <c r="E29" s="11"/>
      <c r="F29" s="11"/>
      <c r="G29" s="11"/>
      <c r="H29" s="103"/>
      <c r="I29" s="102"/>
    </row>
    <row r="30" ht="14.25" customHeight="1">
      <c r="A30" s="24">
        <v>12.0</v>
      </c>
      <c r="B30" s="11"/>
      <c r="C30" s="25"/>
      <c r="D30" s="11"/>
      <c r="E30" s="11"/>
      <c r="F30" s="11"/>
      <c r="G30" s="11"/>
      <c r="H30" s="103"/>
      <c r="I30" s="102"/>
    </row>
    <row r="31" ht="14.25" customHeight="1">
      <c r="A31" s="24">
        <v>13.0</v>
      </c>
      <c r="B31" s="11"/>
      <c r="C31" s="25"/>
      <c r="D31" s="11"/>
      <c r="E31" s="11"/>
      <c r="F31" s="11"/>
      <c r="G31" s="11"/>
      <c r="H31" s="103"/>
      <c r="I31" s="102"/>
    </row>
    <row r="32" ht="14.25" customHeight="1">
      <c r="A32" s="24">
        <v>14.0</v>
      </c>
      <c r="B32" s="11"/>
      <c r="C32" s="25"/>
      <c r="D32" s="11"/>
      <c r="E32" s="11"/>
      <c r="F32" s="11"/>
      <c r="G32" s="11"/>
      <c r="H32" s="103"/>
      <c r="I32" s="102"/>
    </row>
    <row r="33" ht="14.25" customHeight="1">
      <c r="A33" s="24">
        <v>15.0</v>
      </c>
      <c r="B33" s="11"/>
      <c r="C33" s="25"/>
      <c r="D33" s="11"/>
      <c r="E33" s="11"/>
      <c r="F33" s="11"/>
      <c r="G33" s="11"/>
      <c r="H33" s="103"/>
      <c r="I33" s="102"/>
    </row>
    <row r="34" ht="14.25" customHeight="1">
      <c r="A34" s="24">
        <v>16.0</v>
      </c>
      <c r="B34" s="26"/>
      <c r="C34" s="25"/>
      <c r="D34" s="26"/>
      <c r="E34" s="26"/>
      <c r="F34" s="26"/>
      <c r="G34" s="26"/>
      <c r="H34" s="103"/>
      <c r="I34" s="102"/>
    </row>
    <row r="35" ht="14.25" customHeight="1">
      <c r="A35" s="24">
        <v>17.0</v>
      </c>
      <c r="B35" s="26"/>
      <c r="C35" s="25"/>
      <c r="D35" s="26"/>
      <c r="E35" s="26"/>
      <c r="F35" s="26"/>
      <c r="G35" s="26"/>
      <c r="H35" s="103"/>
      <c r="I35" s="102"/>
    </row>
    <row r="36" ht="14.25" customHeight="1">
      <c r="A36" s="24">
        <v>18.0</v>
      </c>
      <c r="B36" s="26"/>
      <c r="C36" s="25"/>
      <c r="D36" s="26"/>
      <c r="E36" s="26"/>
      <c r="F36" s="26"/>
      <c r="G36" s="26"/>
      <c r="H36" s="103"/>
      <c r="I36" s="102"/>
    </row>
    <row r="37" ht="14.25" customHeight="1">
      <c r="A37" s="24">
        <v>19.0</v>
      </c>
      <c r="B37" s="26"/>
      <c r="C37" s="25"/>
      <c r="D37" s="26"/>
      <c r="E37" s="26"/>
      <c r="F37" s="26"/>
      <c r="G37" s="26"/>
      <c r="H37" s="103"/>
      <c r="I37" s="102"/>
    </row>
    <row r="38" ht="14.25" customHeight="1">
      <c r="A38" s="24">
        <v>20.0</v>
      </c>
      <c r="B38" s="26"/>
      <c r="C38" s="25"/>
      <c r="D38" s="26"/>
      <c r="E38" s="26"/>
      <c r="F38" s="26"/>
      <c r="G38" s="26"/>
      <c r="H38" s="103"/>
      <c r="I38" s="102"/>
    </row>
    <row r="39" ht="14.25" customHeight="1">
      <c r="A39" s="24">
        <v>21.0</v>
      </c>
      <c r="B39" s="26"/>
      <c r="C39" s="25"/>
      <c r="D39" s="26"/>
      <c r="E39" s="26"/>
      <c r="F39" s="26"/>
      <c r="G39" s="26"/>
      <c r="H39" s="103"/>
      <c r="I39" s="102"/>
    </row>
    <row r="40" ht="14.25" customHeight="1">
      <c r="A40" s="24">
        <v>22.0</v>
      </c>
      <c r="B40" s="26"/>
      <c r="C40" s="25"/>
      <c r="D40" s="26"/>
      <c r="E40" s="26"/>
      <c r="F40" s="26"/>
      <c r="G40" s="26"/>
      <c r="H40" s="103"/>
      <c r="I40" s="102"/>
    </row>
    <row r="41" ht="14.25" customHeight="1">
      <c r="A41" s="24">
        <v>23.0</v>
      </c>
      <c r="B41" s="26"/>
      <c r="C41" s="25"/>
      <c r="D41" s="26"/>
      <c r="E41" s="26"/>
      <c r="F41" s="26"/>
      <c r="G41" s="26"/>
      <c r="H41" s="103"/>
      <c r="I41" s="102"/>
    </row>
    <row r="42" ht="14.25" customHeight="1">
      <c r="A42" s="24">
        <v>24.0</v>
      </c>
      <c r="B42" s="26"/>
      <c r="C42" s="25"/>
      <c r="D42" s="26"/>
      <c r="E42" s="26"/>
      <c r="F42" s="26"/>
      <c r="G42" s="26"/>
      <c r="H42" s="103"/>
      <c r="I42" s="102"/>
    </row>
    <row r="43" ht="14.25" customHeight="1">
      <c r="A43" s="24">
        <v>25.0</v>
      </c>
      <c r="B43" s="26"/>
      <c r="C43" s="25"/>
      <c r="D43" s="26"/>
      <c r="E43" s="26"/>
      <c r="F43" s="26"/>
      <c r="G43" s="26"/>
      <c r="H43" s="103"/>
      <c r="I43" s="102"/>
    </row>
    <row r="44" ht="14.25" customHeight="1">
      <c r="A44" s="24">
        <v>26.0</v>
      </c>
      <c r="B44" s="26"/>
      <c r="C44" s="25"/>
      <c r="D44" s="26"/>
      <c r="E44" s="26"/>
      <c r="F44" s="26"/>
      <c r="G44" s="26"/>
      <c r="H44" s="103"/>
      <c r="I44" s="102"/>
    </row>
    <row r="45" ht="14.25" customHeight="1">
      <c r="A45" s="24">
        <v>27.0</v>
      </c>
      <c r="B45" s="26"/>
      <c r="C45" s="25"/>
      <c r="D45" s="26"/>
      <c r="E45" s="26"/>
      <c r="F45" s="26"/>
      <c r="G45" s="26"/>
      <c r="H45" s="103"/>
      <c r="I45" s="102"/>
    </row>
    <row r="46" ht="14.25" customHeight="1">
      <c r="A46" s="24">
        <v>28.0</v>
      </c>
      <c r="B46" s="26"/>
      <c r="C46" s="25"/>
      <c r="D46" s="26"/>
      <c r="E46" s="26"/>
      <c r="F46" s="26"/>
      <c r="G46" s="26"/>
      <c r="H46" s="103"/>
      <c r="I46" s="102"/>
    </row>
    <row r="47" ht="14.25" customHeight="1">
      <c r="A47" s="24">
        <v>29.0</v>
      </c>
      <c r="B47" s="26"/>
      <c r="C47" s="25"/>
      <c r="D47" s="26"/>
      <c r="E47" s="26"/>
      <c r="F47" s="26"/>
      <c r="G47" s="26"/>
      <c r="H47" s="103"/>
      <c r="I47" s="102"/>
    </row>
    <row r="48" ht="14.25" customHeight="1">
      <c r="A48" s="24">
        <v>30.0</v>
      </c>
      <c r="B48" s="26"/>
      <c r="C48" s="25"/>
      <c r="D48" s="26"/>
      <c r="E48" s="26"/>
      <c r="F48" s="26"/>
      <c r="G48" s="26"/>
      <c r="H48" s="103"/>
      <c r="I48" s="102"/>
    </row>
    <row r="49" ht="14.25" customHeight="1">
      <c r="A49" s="24">
        <v>31.0</v>
      </c>
      <c r="B49" s="26"/>
      <c r="C49" s="25"/>
      <c r="D49" s="26"/>
      <c r="E49" s="26"/>
      <c r="F49" s="26"/>
      <c r="G49" s="26"/>
      <c r="H49" s="103"/>
      <c r="I49" s="102"/>
    </row>
    <row r="50" ht="14.25" customHeight="1">
      <c r="A50" s="24">
        <v>32.0</v>
      </c>
      <c r="B50" s="26"/>
      <c r="C50" s="25"/>
      <c r="D50" s="26"/>
      <c r="E50" s="26"/>
      <c r="F50" s="26"/>
      <c r="G50" s="26"/>
      <c r="H50" s="103"/>
      <c r="I50" s="102"/>
    </row>
    <row r="51" ht="14.25" customHeight="1">
      <c r="A51" s="24"/>
      <c r="B51" s="1"/>
      <c r="C51" s="31"/>
      <c r="D51" s="1"/>
      <c r="E51" s="1"/>
      <c r="F51" s="1"/>
      <c r="G51" s="1"/>
      <c r="H51" s="52"/>
    </row>
    <row r="52" ht="14.25" customHeight="1">
      <c r="A52" s="24"/>
      <c r="B52" s="106" t="s">
        <v>36</v>
      </c>
      <c r="C52" s="55"/>
      <c r="D52" s="107"/>
      <c r="E52" s="107"/>
      <c r="F52" s="107"/>
      <c r="G52" s="107"/>
      <c r="H52" s="107"/>
      <c r="I52" s="107"/>
    </row>
    <row r="53" ht="14.25" customHeight="1">
      <c r="A53" s="24"/>
      <c r="B53" s="24"/>
    </row>
    <row r="54" ht="14.25" customHeight="1">
      <c r="A54" s="24"/>
    </row>
    <row r="55" ht="14.25" customHeight="1">
      <c r="A55" s="24"/>
    </row>
    <row r="56" ht="14.25" customHeight="1">
      <c r="A56" s="24"/>
    </row>
    <row r="57" ht="14.25" customHeight="1">
      <c r="A57" s="24"/>
    </row>
    <row r="58" ht="14.25" customHeight="1">
      <c r="A58" s="24"/>
    </row>
    <row r="59" ht="14.25" customHeight="1">
      <c r="A59" s="24"/>
    </row>
    <row r="60" ht="14.25" customHeight="1">
      <c r="A60" s="24"/>
    </row>
    <row r="61" ht="14.25" customHeight="1">
      <c r="A61" s="24"/>
    </row>
    <row r="62" ht="14.25" customHeight="1">
      <c r="A62" s="24"/>
    </row>
    <row r="63" ht="14.25" customHeight="1">
      <c r="A63" s="24"/>
    </row>
    <row r="64" ht="14.25" customHeight="1">
      <c r="A64" s="24"/>
    </row>
    <row r="65" ht="14.25" customHeight="1">
      <c r="A65" s="24"/>
    </row>
    <row r="66" ht="14.25" customHeight="1">
      <c r="A66" s="24"/>
    </row>
    <row r="67" ht="14.25" customHeight="1">
      <c r="A67" s="24"/>
    </row>
    <row r="68" ht="14.25" customHeight="1">
      <c r="A68" s="24"/>
    </row>
    <row r="69" ht="14.25" customHeight="1">
      <c r="A69" s="24"/>
    </row>
    <row r="70" ht="14.25" customHeight="1">
      <c r="A70" s="24"/>
    </row>
    <row r="71" ht="14.25" customHeight="1">
      <c r="A71" s="24"/>
    </row>
    <row r="72" ht="14.25" customHeight="1">
      <c r="A72" s="24"/>
    </row>
    <row r="73" ht="14.25" customHeight="1">
      <c r="A73" s="24"/>
    </row>
    <row r="74" ht="14.25" customHeight="1">
      <c r="A74" s="24"/>
    </row>
    <row r="75" ht="14.25" customHeight="1">
      <c r="A75" s="24"/>
    </row>
    <row r="76" ht="14.25" customHeight="1">
      <c r="A76" s="24"/>
    </row>
    <row r="77" ht="14.25" customHeight="1">
      <c r="A77" s="24"/>
    </row>
    <row r="78" ht="14.25" customHeight="1">
      <c r="A78" s="24"/>
    </row>
    <row r="79" ht="14.25" customHeight="1">
      <c r="A79" s="24"/>
    </row>
    <row r="80" ht="14.25" customHeight="1">
      <c r="A80" s="24"/>
    </row>
    <row r="81" ht="14.25" customHeight="1">
      <c r="A81" s="24"/>
    </row>
    <row r="82" ht="14.25" customHeight="1">
      <c r="A82" s="24"/>
    </row>
    <row r="83" ht="14.25" customHeight="1">
      <c r="A83" s="24"/>
    </row>
    <row r="84" ht="14.25" customHeight="1">
      <c r="A84" s="24"/>
    </row>
    <row r="85" ht="14.25" customHeight="1">
      <c r="A85" s="24"/>
    </row>
    <row r="86" ht="14.25" customHeight="1">
      <c r="A86" s="24"/>
    </row>
    <row r="87" ht="14.25" customHeight="1">
      <c r="A87" s="24"/>
    </row>
    <row r="88" ht="14.25" customHeight="1">
      <c r="A88" s="24"/>
    </row>
    <row r="89" ht="14.25" customHeight="1">
      <c r="A89" s="24"/>
    </row>
    <row r="90" ht="14.25" customHeight="1">
      <c r="A90" s="24"/>
    </row>
    <row r="91" ht="14.25" customHeight="1">
      <c r="A91" s="24"/>
    </row>
    <row r="92" ht="14.25" customHeight="1">
      <c r="A92" s="24"/>
    </row>
    <row r="93" ht="14.25" customHeight="1">
      <c r="A93" s="24"/>
    </row>
    <row r="94" ht="14.25" customHeight="1">
      <c r="A94" s="24"/>
    </row>
    <row r="95" ht="14.25" customHeight="1">
      <c r="A95" s="24"/>
    </row>
    <row r="96" ht="14.25" customHeight="1">
      <c r="A96" s="24"/>
    </row>
    <row r="97" ht="14.25" customHeight="1">
      <c r="A97" s="24"/>
    </row>
    <row r="98" ht="14.25" customHeight="1">
      <c r="A98" s="24"/>
    </row>
    <row r="99" ht="14.25" customHeight="1">
      <c r="A99" s="24"/>
    </row>
    <row r="100" ht="14.25" customHeight="1">
      <c r="A100" s="24"/>
    </row>
    <row r="101" ht="14.25" customHeight="1">
      <c r="A101" s="24"/>
    </row>
    <row r="102" ht="14.25" customHeight="1">
      <c r="A102" s="24"/>
    </row>
    <row r="103" ht="14.25" customHeight="1">
      <c r="A103" s="24"/>
    </row>
    <row r="104" ht="14.25" customHeight="1">
      <c r="A104" s="24"/>
    </row>
    <row r="105" ht="14.25" customHeight="1">
      <c r="A105" s="24"/>
    </row>
    <row r="106" ht="14.25" customHeight="1">
      <c r="A106" s="24"/>
    </row>
    <row r="107" ht="14.25" customHeight="1">
      <c r="A107" s="24"/>
    </row>
    <row r="108" ht="14.25" customHeight="1">
      <c r="A108" s="24"/>
    </row>
    <row r="109" ht="14.25" customHeight="1">
      <c r="A109" s="24"/>
    </row>
    <row r="110" ht="14.25" customHeight="1">
      <c r="A110" s="24"/>
    </row>
    <row r="111" ht="14.25" customHeight="1">
      <c r="A111" s="24"/>
    </row>
    <row r="112" ht="14.25" customHeight="1">
      <c r="A112" s="24"/>
    </row>
    <row r="113" ht="14.25" customHeight="1">
      <c r="A113" s="24"/>
    </row>
    <row r="114" ht="14.25" customHeight="1">
      <c r="A114" s="24"/>
    </row>
    <row r="115" ht="14.25" customHeight="1">
      <c r="A115" s="24"/>
    </row>
    <row r="116" ht="14.25" customHeight="1">
      <c r="A116" s="24"/>
    </row>
    <row r="117" ht="14.25" customHeight="1">
      <c r="A117" s="24"/>
    </row>
    <row r="118" ht="14.25" customHeight="1">
      <c r="A118" s="24"/>
    </row>
    <row r="119" ht="14.25" customHeight="1">
      <c r="A119" s="24"/>
    </row>
    <row r="120" ht="14.25" customHeight="1">
      <c r="A120" s="24"/>
    </row>
    <row r="121" ht="14.25" customHeight="1">
      <c r="A121" s="24"/>
    </row>
    <row r="122" ht="14.25" customHeight="1">
      <c r="A122" s="24"/>
    </row>
    <row r="123" ht="14.25" customHeight="1">
      <c r="A123" s="24"/>
    </row>
    <row r="124" ht="14.25" customHeight="1">
      <c r="A124" s="24"/>
    </row>
    <row r="125" ht="14.25" customHeight="1">
      <c r="A125" s="24"/>
    </row>
    <row r="126" ht="14.25" customHeight="1">
      <c r="A126" s="24"/>
    </row>
    <row r="127" ht="14.25" customHeight="1">
      <c r="A127" s="24"/>
    </row>
    <row r="128" ht="14.25" customHeight="1">
      <c r="A128" s="24"/>
    </row>
    <row r="129" ht="14.25" customHeight="1">
      <c r="A129" s="24"/>
    </row>
    <row r="130" ht="14.25" customHeight="1">
      <c r="A130" s="24"/>
    </row>
    <row r="131" ht="14.25" customHeight="1">
      <c r="A131" s="24"/>
    </row>
    <row r="132" ht="14.25" customHeight="1">
      <c r="A132" s="24"/>
    </row>
    <row r="133" ht="14.25" customHeight="1">
      <c r="A133" s="24"/>
    </row>
    <row r="134" ht="14.25" customHeight="1">
      <c r="A134" s="24"/>
    </row>
    <row r="135" ht="14.25" customHeight="1">
      <c r="A135" s="24"/>
    </row>
    <row r="136" ht="14.25" customHeight="1">
      <c r="A136" s="24"/>
    </row>
    <row r="137" ht="14.25" customHeight="1">
      <c r="A137" s="24"/>
    </row>
    <row r="138" ht="14.25" customHeight="1">
      <c r="A138" s="24"/>
    </row>
    <row r="139" ht="14.25" customHeight="1">
      <c r="A139" s="24"/>
    </row>
    <row r="140" ht="14.25" customHeight="1">
      <c r="A140" s="24"/>
    </row>
    <row r="141" ht="14.25" customHeight="1">
      <c r="A141" s="24"/>
    </row>
    <row r="142" ht="14.25" customHeight="1">
      <c r="A142" s="24"/>
    </row>
    <row r="143" ht="14.25" customHeight="1">
      <c r="A143" s="24"/>
    </row>
    <row r="144" ht="14.25" customHeight="1">
      <c r="A144" s="24"/>
    </row>
    <row r="145" ht="14.25" customHeight="1">
      <c r="A145" s="24"/>
    </row>
    <row r="146" ht="14.25" customHeight="1">
      <c r="A146" s="24"/>
    </row>
    <row r="147" ht="14.25" customHeight="1">
      <c r="A147" s="24"/>
    </row>
    <row r="148" ht="14.25" customHeight="1">
      <c r="A148" s="24"/>
    </row>
    <row r="149" ht="14.25" customHeight="1">
      <c r="A149" s="24"/>
    </row>
    <row r="150" ht="14.25" customHeight="1">
      <c r="A150" s="24"/>
    </row>
    <row r="151" ht="14.25" customHeight="1">
      <c r="A151" s="24"/>
    </row>
    <row r="152" ht="14.25" customHeight="1">
      <c r="A152" s="24"/>
    </row>
    <row r="153" ht="14.25" customHeight="1">
      <c r="A153" s="24"/>
    </row>
    <row r="154" ht="14.25" customHeight="1">
      <c r="A154" s="24"/>
    </row>
    <row r="155" ht="14.25" customHeight="1">
      <c r="A155" s="24"/>
    </row>
    <row r="156" ht="14.25" customHeight="1">
      <c r="A156" s="24"/>
    </row>
    <row r="157" ht="14.25" customHeight="1">
      <c r="A157" s="24"/>
    </row>
    <row r="158" ht="14.25" customHeight="1">
      <c r="A158" s="24"/>
    </row>
    <row r="159" ht="14.25" customHeight="1">
      <c r="A159" s="24"/>
    </row>
    <row r="160" ht="14.25" customHeight="1">
      <c r="A160" s="24"/>
    </row>
    <row r="161" ht="14.25" customHeight="1">
      <c r="A161" s="24"/>
    </row>
    <row r="162" ht="14.25" customHeight="1">
      <c r="A162" s="24"/>
    </row>
    <row r="163" ht="14.25" customHeight="1">
      <c r="A163" s="24"/>
    </row>
    <row r="164" ht="14.25" customHeight="1">
      <c r="A164" s="24"/>
    </row>
    <row r="165" ht="14.25" customHeight="1">
      <c r="A165" s="24"/>
    </row>
    <row r="166" ht="14.25" customHeight="1">
      <c r="A166" s="24"/>
    </row>
    <row r="167" ht="14.25" customHeight="1">
      <c r="A167" s="24"/>
    </row>
    <row r="168" ht="14.25" customHeight="1">
      <c r="A168" s="24"/>
    </row>
    <row r="169" ht="14.25" customHeight="1">
      <c r="A169" s="24"/>
    </row>
    <row r="170" ht="14.25" customHeight="1">
      <c r="A170" s="24"/>
    </row>
    <row r="171" ht="14.25" customHeight="1">
      <c r="A171" s="24"/>
    </row>
    <row r="172" ht="14.25" customHeight="1">
      <c r="A172" s="24"/>
    </row>
    <row r="173" ht="14.25" customHeight="1">
      <c r="A173" s="24"/>
    </row>
    <row r="174" ht="14.25" customHeight="1">
      <c r="A174" s="24"/>
    </row>
    <row r="175" ht="14.25" customHeight="1">
      <c r="A175" s="24"/>
    </row>
    <row r="176" ht="14.25" customHeight="1">
      <c r="A176" s="24"/>
    </row>
    <row r="177" ht="14.25" customHeight="1">
      <c r="A177" s="24"/>
    </row>
    <row r="178" ht="14.25" customHeight="1">
      <c r="A178" s="24"/>
    </row>
    <row r="179" ht="14.25" customHeight="1">
      <c r="A179" s="24"/>
    </row>
    <row r="180" ht="14.25" customHeight="1">
      <c r="A180" s="24"/>
    </row>
    <row r="181" ht="14.25" customHeight="1">
      <c r="A181" s="24"/>
    </row>
    <row r="182" ht="14.25" customHeight="1">
      <c r="A182" s="24"/>
    </row>
    <row r="183" ht="14.25" customHeight="1">
      <c r="A183" s="24"/>
    </row>
    <row r="184" ht="14.25" customHeight="1">
      <c r="A184" s="24"/>
    </row>
    <row r="185" ht="14.25" customHeight="1">
      <c r="A185" s="24"/>
    </row>
    <row r="186" ht="14.25" customHeight="1">
      <c r="A186" s="24"/>
    </row>
    <row r="187" ht="14.25" customHeight="1">
      <c r="A187" s="24"/>
    </row>
    <row r="188" ht="14.25" customHeight="1">
      <c r="A188" s="24"/>
    </row>
    <row r="189" ht="14.25" customHeight="1">
      <c r="A189" s="24"/>
    </row>
    <row r="190" ht="14.25" customHeight="1">
      <c r="A190" s="24"/>
    </row>
    <row r="191" ht="14.25" customHeight="1">
      <c r="A191" s="24"/>
    </row>
    <row r="192" ht="14.25" customHeight="1">
      <c r="A192" s="24"/>
    </row>
    <row r="193" ht="14.25" customHeight="1">
      <c r="A193" s="24"/>
    </row>
    <row r="194" ht="14.25" customHeight="1">
      <c r="A194" s="24"/>
    </row>
    <row r="195" ht="14.25" customHeight="1">
      <c r="A195" s="24"/>
    </row>
    <row r="196" ht="14.25" customHeight="1">
      <c r="A196" s="24"/>
    </row>
    <row r="197" ht="14.25" customHeight="1">
      <c r="A197" s="24"/>
    </row>
    <row r="198" ht="14.25" customHeight="1">
      <c r="A198" s="24"/>
    </row>
    <row r="199" ht="14.25" customHeight="1">
      <c r="A199" s="24"/>
    </row>
    <row r="200" ht="14.25" customHeight="1">
      <c r="A200" s="24"/>
    </row>
    <row r="201" ht="14.25" customHeight="1">
      <c r="A201" s="24"/>
    </row>
    <row r="202" ht="14.25" customHeight="1">
      <c r="A202" s="24"/>
    </row>
    <row r="203" ht="14.25" customHeight="1">
      <c r="A203" s="24"/>
    </row>
    <row r="204" ht="14.25" customHeight="1">
      <c r="A204" s="24"/>
    </row>
    <row r="205" ht="14.25" customHeight="1">
      <c r="A205" s="24"/>
    </row>
    <row r="206" ht="14.25" customHeight="1">
      <c r="A206" s="24"/>
    </row>
    <row r="207" ht="14.25" customHeight="1">
      <c r="A207" s="24"/>
    </row>
    <row r="208" ht="14.25" customHeight="1">
      <c r="A208" s="24"/>
    </row>
    <row r="209" ht="14.25" customHeight="1">
      <c r="A209" s="24"/>
    </row>
    <row r="210" ht="14.25" customHeight="1">
      <c r="A210" s="24"/>
    </row>
    <row r="211" ht="14.25" customHeight="1">
      <c r="A211" s="24"/>
    </row>
    <row r="212" ht="14.25" customHeight="1">
      <c r="A212" s="24"/>
    </row>
    <row r="213" ht="14.25" customHeight="1">
      <c r="A213" s="24"/>
    </row>
    <row r="214" ht="14.25" customHeight="1">
      <c r="A214" s="24"/>
    </row>
    <row r="215" ht="14.25" customHeight="1">
      <c r="A215" s="24"/>
    </row>
    <row r="216" ht="14.25" customHeight="1">
      <c r="A216" s="24"/>
    </row>
    <row r="217" ht="14.25" customHeight="1">
      <c r="A217" s="24"/>
    </row>
    <row r="218" ht="14.25" customHeight="1">
      <c r="A218" s="24"/>
    </row>
    <row r="219" ht="14.25" customHeight="1">
      <c r="A219" s="24"/>
    </row>
    <row r="220" ht="14.25" customHeight="1">
      <c r="A220" s="24"/>
    </row>
    <row r="221" ht="14.25" customHeight="1">
      <c r="A221" s="24"/>
    </row>
    <row r="222" ht="14.25" customHeight="1">
      <c r="A222" s="24"/>
    </row>
    <row r="223" ht="14.25" customHeight="1">
      <c r="A223" s="24"/>
    </row>
    <row r="224" ht="14.25" customHeight="1">
      <c r="A224" s="24"/>
    </row>
    <row r="225" ht="14.25" customHeight="1">
      <c r="A225" s="24"/>
    </row>
    <row r="226" ht="14.25" customHeight="1">
      <c r="A226" s="24"/>
    </row>
    <row r="227" ht="14.25" customHeight="1">
      <c r="A227" s="24"/>
    </row>
    <row r="228" ht="14.25" customHeight="1">
      <c r="A228" s="24"/>
    </row>
    <row r="229" ht="14.25" customHeight="1">
      <c r="A229" s="24"/>
    </row>
    <row r="230" ht="14.25" customHeight="1">
      <c r="A230" s="24"/>
    </row>
    <row r="231" ht="14.25" customHeight="1">
      <c r="A231" s="24"/>
    </row>
    <row r="232" ht="14.25" customHeight="1">
      <c r="A232" s="24"/>
    </row>
    <row r="233" ht="14.25" customHeight="1">
      <c r="A233" s="24"/>
    </row>
    <row r="234" ht="14.25" customHeight="1">
      <c r="A234" s="24"/>
    </row>
    <row r="235" ht="14.25" customHeight="1">
      <c r="A235" s="24"/>
    </row>
    <row r="236" ht="14.25" customHeight="1">
      <c r="A236" s="24"/>
    </row>
    <row r="237" ht="14.25" customHeight="1">
      <c r="A237" s="24"/>
    </row>
    <row r="238" ht="14.25" customHeight="1">
      <c r="A238" s="24"/>
    </row>
    <row r="239" ht="14.25" customHeight="1">
      <c r="A239" s="24"/>
    </row>
    <row r="240" ht="14.25" customHeight="1">
      <c r="A240" s="24"/>
    </row>
    <row r="241" ht="14.25" customHeight="1">
      <c r="A241" s="24"/>
    </row>
    <row r="242" ht="14.25" customHeight="1">
      <c r="A242" s="24"/>
    </row>
    <row r="243" ht="14.25" customHeight="1">
      <c r="A243" s="24"/>
    </row>
    <row r="244" ht="14.25" customHeight="1">
      <c r="A244" s="24"/>
    </row>
    <row r="245" ht="14.25" customHeight="1">
      <c r="A245" s="24"/>
    </row>
    <row r="246" ht="14.25" customHeight="1">
      <c r="A246" s="24"/>
    </row>
    <row r="247" ht="14.25" customHeight="1">
      <c r="A247" s="24"/>
    </row>
    <row r="248" ht="14.25" customHeight="1">
      <c r="A248" s="24"/>
    </row>
    <row r="249" ht="14.25" customHeight="1">
      <c r="A249" s="24"/>
    </row>
    <row r="250" ht="14.25" customHeight="1">
      <c r="A250" s="24"/>
    </row>
    <row r="251" ht="14.25" customHeight="1">
      <c r="A251" s="24"/>
    </row>
    <row r="252" ht="14.25" customHeight="1">
      <c r="A252" s="24"/>
    </row>
    <row r="253" ht="14.25" customHeight="1">
      <c r="A253" s="24"/>
    </row>
    <row r="254" ht="14.25" customHeight="1">
      <c r="A254" s="24"/>
    </row>
    <row r="255" ht="14.25" customHeight="1">
      <c r="A255" s="24"/>
    </row>
    <row r="256" ht="14.25" customHeight="1">
      <c r="A256" s="24"/>
    </row>
    <row r="257" ht="14.25" customHeight="1">
      <c r="A257" s="24"/>
    </row>
    <row r="258" ht="14.25" customHeight="1">
      <c r="A258" s="24"/>
    </row>
    <row r="259" ht="14.25" customHeight="1">
      <c r="A259" s="24"/>
    </row>
    <row r="260" ht="14.25" customHeight="1">
      <c r="A260" s="24"/>
    </row>
    <row r="261" ht="14.25" customHeight="1">
      <c r="A261" s="24"/>
    </row>
    <row r="262" ht="14.25" customHeight="1">
      <c r="A262" s="24"/>
    </row>
    <row r="263" ht="14.25" customHeight="1">
      <c r="A263" s="24"/>
    </row>
    <row r="264" ht="14.25" customHeight="1">
      <c r="A264" s="24"/>
    </row>
    <row r="265" ht="14.25" customHeight="1">
      <c r="A265" s="24"/>
    </row>
    <row r="266" ht="14.25" customHeight="1">
      <c r="A266" s="24"/>
    </row>
    <row r="267" ht="14.25" customHeight="1">
      <c r="A267" s="24"/>
    </row>
    <row r="268" ht="14.25" customHeight="1">
      <c r="A268" s="24"/>
    </row>
    <row r="269" ht="14.25" customHeight="1">
      <c r="A269" s="24"/>
    </row>
    <row r="270" ht="14.25" customHeight="1">
      <c r="A270" s="24"/>
    </row>
    <row r="271" ht="14.25" customHeight="1">
      <c r="A271" s="24"/>
    </row>
    <row r="272" ht="14.25" customHeight="1">
      <c r="A272" s="24"/>
    </row>
    <row r="273" ht="14.25" customHeight="1">
      <c r="A273" s="24"/>
    </row>
    <row r="274" ht="14.25" customHeight="1">
      <c r="A274" s="24"/>
    </row>
    <row r="275" ht="14.25" customHeight="1">
      <c r="A275" s="24"/>
    </row>
    <row r="276" ht="14.25" customHeight="1">
      <c r="A276" s="24"/>
    </row>
    <row r="277" ht="14.25" customHeight="1">
      <c r="A277" s="24"/>
    </row>
    <row r="278" ht="14.25" customHeight="1">
      <c r="A278" s="24"/>
    </row>
    <row r="279" ht="14.25" customHeight="1">
      <c r="A279" s="24"/>
    </row>
    <row r="280" ht="14.25" customHeight="1">
      <c r="A280" s="24"/>
    </row>
    <row r="281" ht="14.25" customHeight="1">
      <c r="A281" s="24"/>
    </row>
    <row r="282" ht="14.25" customHeight="1">
      <c r="A282" s="24"/>
    </row>
    <row r="283" ht="14.25" customHeight="1">
      <c r="A283" s="24"/>
    </row>
    <row r="284" ht="14.25" customHeight="1">
      <c r="A284" s="24"/>
    </row>
    <row r="285" ht="14.25" customHeight="1">
      <c r="A285" s="24"/>
    </row>
    <row r="286" ht="14.25" customHeight="1">
      <c r="A286" s="24"/>
    </row>
    <row r="287" ht="14.25" customHeight="1">
      <c r="A287" s="24"/>
    </row>
    <row r="288" ht="14.25" customHeight="1">
      <c r="A288" s="24"/>
    </row>
    <row r="289" ht="14.25" customHeight="1">
      <c r="A289" s="24"/>
    </row>
    <row r="290" ht="14.25" customHeight="1">
      <c r="A290" s="24"/>
    </row>
    <row r="291" ht="14.25" customHeight="1">
      <c r="A291" s="24"/>
    </row>
    <row r="292" ht="14.25" customHeight="1">
      <c r="A292" s="24"/>
    </row>
    <row r="293" ht="14.25" customHeight="1">
      <c r="A293" s="24"/>
    </row>
    <row r="294" ht="14.25" customHeight="1">
      <c r="A294" s="24"/>
    </row>
    <row r="295" ht="14.25" customHeight="1">
      <c r="A295" s="24"/>
    </row>
    <row r="296" ht="14.25" customHeight="1">
      <c r="A296" s="24"/>
    </row>
    <row r="297" ht="14.25" customHeight="1">
      <c r="A297" s="24"/>
    </row>
    <row r="298" ht="14.25" customHeight="1">
      <c r="A298" s="24"/>
    </row>
    <row r="299" ht="14.25" customHeight="1">
      <c r="A299" s="24"/>
    </row>
    <row r="300" ht="14.25" customHeight="1">
      <c r="A300" s="24"/>
    </row>
    <row r="301" ht="14.25" customHeight="1">
      <c r="A301" s="24"/>
    </row>
    <row r="302" ht="14.25" customHeight="1">
      <c r="A302" s="24"/>
    </row>
    <row r="303" ht="14.25" customHeight="1">
      <c r="A303" s="24"/>
    </row>
    <row r="304" ht="14.25" customHeight="1">
      <c r="A304" s="24"/>
    </row>
    <row r="305" ht="14.25" customHeight="1">
      <c r="A305" s="24"/>
    </row>
    <row r="306" ht="14.25" customHeight="1">
      <c r="A306" s="24"/>
    </row>
    <row r="307" ht="14.25" customHeight="1">
      <c r="A307" s="24"/>
    </row>
    <row r="308" ht="14.25" customHeight="1">
      <c r="A308" s="24"/>
    </row>
    <row r="309" ht="14.25" customHeight="1">
      <c r="A309" s="24"/>
    </row>
    <row r="310" ht="14.25" customHeight="1">
      <c r="A310" s="24"/>
    </row>
    <row r="311" ht="14.25" customHeight="1">
      <c r="A311" s="24"/>
    </row>
    <row r="312" ht="14.25" customHeight="1">
      <c r="A312" s="24"/>
    </row>
    <row r="313" ht="14.25" customHeight="1">
      <c r="A313" s="24"/>
    </row>
    <row r="314" ht="14.25" customHeight="1">
      <c r="A314" s="24"/>
    </row>
    <row r="315" ht="14.25" customHeight="1">
      <c r="A315" s="24"/>
    </row>
    <row r="316" ht="14.25" customHeight="1">
      <c r="A316" s="24"/>
    </row>
    <row r="317" ht="14.25" customHeight="1">
      <c r="A317" s="24"/>
    </row>
    <row r="318" ht="14.25" customHeight="1">
      <c r="A318" s="24"/>
    </row>
    <row r="319" ht="14.25" customHeight="1">
      <c r="A319" s="24"/>
    </row>
    <row r="320" ht="14.25" customHeight="1">
      <c r="A320" s="24"/>
    </row>
    <row r="321" ht="14.25" customHeight="1">
      <c r="A321" s="24"/>
    </row>
    <row r="322" ht="14.25" customHeight="1">
      <c r="A322" s="24"/>
    </row>
    <row r="323" ht="14.25" customHeight="1">
      <c r="A323" s="24"/>
    </row>
    <row r="324" ht="14.25" customHeight="1">
      <c r="A324" s="24"/>
    </row>
    <row r="325" ht="14.25" customHeight="1">
      <c r="A325" s="24"/>
    </row>
    <row r="326" ht="14.25" customHeight="1">
      <c r="A326" s="24"/>
    </row>
    <row r="327" ht="14.25" customHeight="1">
      <c r="A327" s="24"/>
    </row>
    <row r="328" ht="14.25" customHeight="1">
      <c r="A328" s="24"/>
    </row>
    <row r="329" ht="14.25" customHeight="1">
      <c r="A329" s="24"/>
    </row>
    <row r="330" ht="14.25" customHeight="1">
      <c r="A330" s="24"/>
    </row>
    <row r="331" ht="14.25" customHeight="1">
      <c r="A331" s="24"/>
    </row>
    <row r="332" ht="14.25" customHeight="1">
      <c r="A332" s="24"/>
    </row>
    <row r="333" ht="14.25" customHeight="1">
      <c r="A333" s="24"/>
    </row>
    <row r="334" ht="14.25" customHeight="1">
      <c r="A334" s="24"/>
    </row>
    <row r="335" ht="14.25" customHeight="1">
      <c r="A335" s="24"/>
    </row>
    <row r="336" ht="14.25" customHeight="1">
      <c r="A336" s="24"/>
    </row>
    <row r="337" ht="14.25" customHeight="1">
      <c r="A337" s="24"/>
    </row>
    <row r="338" ht="14.25" customHeight="1">
      <c r="A338" s="24"/>
    </row>
    <row r="339" ht="14.25" customHeight="1">
      <c r="A339" s="24"/>
    </row>
    <row r="340" ht="14.25" customHeight="1">
      <c r="A340" s="24"/>
    </row>
    <row r="341" ht="14.25" customHeight="1">
      <c r="A341" s="24"/>
    </row>
    <row r="342" ht="14.25" customHeight="1">
      <c r="A342" s="24"/>
    </row>
    <row r="343" ht="14.25" customHeight="1">
      <c r="A343" s="24"/>
    </row>
    <row r="344" ht="14.25" customHeight="1">
      <c r="A344" s="24"/>
    </row>
    <row r="345" ht="14.25" customHeight="1">
      <c r="A345" s="24"/>
    </row>
    <row r="346" ht="14.25" customHeight="1">
      <c r="A346" s="24"/>
    </row>
    <row r="347" ht="14.25" customHeight="1">
      <c r="A347" s="24"/>
    </row>
    <row r="348" ht="14.25" customHeight="1">
      <c r="A348" s="24"/>
    </row>
    <row r="349" ht="14.25" customHeight="1">
      <c r="A349" s="24"/>
    </row>
    <row r="350" ht="14.25" customHeight="1">
      <c r="A350" s="24"/>
    </row>
    <row r="351" ht="14.25" customHeight="1">
      <c r="A351" s="24"/>
    </row>
    <row r="352" ht="14.25" customHeight="1">
      <c r="A352" s="24"/>
    </row>
    <row r="353" ht="14.25" customHeight="1">
      <c r="A353" s="24"/>
    </row>
    <row r="354" ht="14.25" customHeight="1">
      <c r="A354" s="24"/>
    </row>
    <row r="355" ht="14.25" customHeight="1">
      <c r="A355" s="24"/>
    </row>
    <row r="356" ht="14.25" customHeight="1">
      <c r="A356" s="24"/>
    </row>
    <row r="357" ht="14.25" customHeight="1">
      <c r="A357" s="24"/>
    </row>
    <row r="358" ht="14.25" customHeight="1">
      <c r="A358" s="24"/>
    </row>
    <row r="359" ht="14.25" customHeight="1">
      <c r="A359" s="24"/>
    </row>
    <row r="360" ht="14.25" customHeight="1">
      <c r="A360" s="24"/>
    </row>
    <row r="361" ht="14.25" customHeight="1">
      <c r="A361" s="24"/>
    </row>
    <row r="362" ht="14.25" customHeight="1">
      <c r="A362" s="24"/>
    </row>
    <row r="363" ht="14.25" customHeight="1">
      <c r="A363" s="24"/>
    </row>
    <row r="364" ht="14.25" customHeight="1">
      <c r="A364" s="24"/>
    </row>
    <row r="365" ht="14.25" customHeight="1">
      <c r="A365" s="24"/>
    </row>
    <row r="366" ht="14.25" customHeight="1">
      <c r="A366" s="24"/>
    </row>
    <row r="367" ht="14.25" customHeight="1">
      <c r="A367" s="24"/>
    </row>
    <row r="368" ht="14.25" customHeight="1">
      <c r="A368" s="24"/>
    </row>
    <row r="369" ht="14.25" customHeight="1">
      <c r="A369" s="24"/>
    </row>
    <row r="370" ht="14.25" customHeight="1">
      <c r="A370" s="24"/>
    </row>
    <row r="371" ht="14.25" customHeight="1">
      <c r="A371" s="24"/>
    </row>
    <row r="372" ht="14.25" customHeight="1">
      <c r="A372" s="24"/>
    </row>
    <row r="373" ht="14.25" customHeight="1">
      <c r="A373" s="24"/>
    </row>
    <row r="374" ht="14.25" customHeight="1">
      <c r="A374" s="24"/>
    </row>
    <row r="375" ht="14.25" customHeight="1">
      <c r="A375" s="24"/>
    </row>
    <row r="376" ht="14.25" customHeight="1">
      <c r="A376" s="24"/>
    </row>
    <row r="377" ht="14.25" customHeight="1">
      <c r="A377" s="24"/>
    </row>
    <row r="378" ht="14.25" customHeight="1">
      <c r="A378" s="24"/>
    </row>
    <row r="379" ht="14.25" customHeight="1">
      <c r="A379" s="24"/>
    </row>
    <row r="380" ht="14.25" customHeight="1">
      <c r="A380" s="24"/>
    </row>
    <row r="381" ht="14.25" customHeight="1">
      <c r="A381" s="24"/>
    </row>
    <row r="382" ht="14.25" customHeight="1">
      <c r="A382" s="24"/>
    </row>
    <row r="383" ht="14.25" customHeight="1">
      <c r="A383" s="24"/>
    </row>
    <row r="384" ht="14.25" customHeight="1">
      <c r="A384" s="24"/>
    </row>
    <row r="385" ht="14.25" customHeight="1">
      <c r="A385" s="24"/>
    </row>
    <row r="386" ht="14.25" customHeight="1">
      <c r="A386" s="24"/>
    </row>
    <row r="387" ht="14.25" customHeight="1">
      <c r="A387" s="24"/>
    </row>
    <row r="388" ht="14.25" customHeight="1">
      <c r="A388" s="24"/>
    </row>
    <row r="389" ht="14.25" customHeight="1">
      <c r="A389" s="24"/>
    </row>
    <row r="390" ht="14.25" customHeight="1">
      <c r="A390" s="24"/>
    </row>
    <row r="391" ht="14.25" customHeight="1">
      <c r="A391" s="24"/>
    </row>
    <row r="392" ht="14.25" customHeight="1">
      <c r="A392" s="24"/>
    </row>
    <row r="393" ht="14.25" customHeight="1">
      <c r="A393" s="24"/>
    </row>
    <row r="394" ht="14.25" customHeight="1">
      <c r="A394" s="24"/>
    </row>
    <row r="395" ht="14.25" customHeight="1">
      <c r="A395" s="24"/>
    </row>
    <row r="396" ht="14.25" customHeight="1">
      <c r="A396" s="24"/>
    </row>
    <row r="397" ht="14.25" customHeight="1">
      <c r="A397" s="24"/>
    </row>
    <row r="398" ht="14.25" customHeight="1">
      <c r="A398" s="24"/>
    </row>
    <row r="399" ht="14.25" customHeight="1">
      <c r="A399" s="24"/>
    </row>
    <row r="400" ht="14.25" customHeight="1">
      <c r="A400" s="24"/>
    </row>
    <row r="401" ht="14.25" customHeight="1">
      <c r="A401" s="24"/>
    </row>
    <row r="402" ht="14.25" customHeight="1">
      <c r="A402" s="24"/>
    </row>
    <row r="403" ht="14.25" customHeight="1">
      <c r="A403" s="24"/>
    </row>
    <row r="404" ht="14.25" customHeight="1">
      <c r="A404" s="24"/>
    </row>
    <row r="405" ht="14.25" customHeight="1">
      <c r="A405" s="24"/>
    </row>
    <row r="406" ht="14.25" customHeight="1">
      <c r="A406" s="24"/>
    </row>
    <row r="407" ht="14.25" customHeight="1">
      <c r="A407" s="24"/>
    </row>
    <row r="408" ht="14.25" customHeight="1">
      <c r="A408" s="24"/>
    </row>
    <row r="409" ht="14.25" customHeight="1">
      <c r="A409" s="24"/>
    </row>
    <row r="410" ht="14.25" customHeight="1">
      <c r="A410" s="24"/>
    </row>
    <row r="411" ht="14.25" customHeight="1">
      <c r="A411" s="24"/>
    </row>
    <row r="412" ht="14.25" customHeight="1">
      <c r="A412" s="24"/>
    </row>
    <row r="413" ht="14.25" customHeight="1">
      <c r="A413" s="24"/>
    </row>
    <row r="414" ht="14.25" customHeight="1">
      <c r="A414" s="24"/>
    </row>
    <row r="415" ht="14.25" customHeight="1">
      <c r="A415" s="24"/>
    </row>
    <row r="416" ht="14.25" customHeight="1">
      <c r="A416" s="24"/>
    </row>
    <row r="417" ht="14.25" customHeight="1">
      <c r="A417" s="24"/>
    </row>
    <row r="418" ht="14.25" customHeight="1">
      <c r="A418" s="24"/>
    </row>
    <row r="419" ht="14.25" customHeight="1">
      <c r="A419" s="24"/>
    </row>
    <row r="420" ht="14.25" customHeight="1">
      <c r="A420" s="24"/>
    </row>
    <row r="421" ht="14.25" customHeight="1">
      <c r="A421" s="24"/>
    </row>
    <row r="422" ht="14.25" customHeight="1">
      <c r="A422" s="24"/>
    </row>
    <row r="423" ht="14.25" customHeight="1">
      <c r="A423" s="24"/>
    </row>
    <row r="424" ht="14.25" customHeight="1">
      <c r="A424" s="24"/>
    </row>
    <row r="425" ht="14.25" customHeight="1">
      <c r="A425" s="24"/>
    </row>
    <row r="426" ht="14.25" customHeight="1">
      <c r="A426" s="24"/>
    </row>
    <row r="427" ht="14.25" customHeight="1">
      <c r="A427" s="24"/>
    </row>
    <row r="428" ht="14.25" customHeight="1">
      <c r="A428" s="24"/>
    </row>
    <row r="429" ht="14.25" customHeight="1">
      <c r="A429" s="24"/>
    </row>
    <row r="430" ht="14.25" customHeight="1">
      <c r="A430" s="24"/>
    </row>
    <row r="431" ht="14.25" customHeight="1">
      <c r="A431" s="24"/>
    </row>
    <row r="432" ht="14.25" customHeight="1">
      <c r="A432" s="24"/>
    </row>
    <row r="433" ht="14.25" customHeight="1">
      <c r="A433" s="24"/>
    </row>
    <row r="434" ht="14.25" customHeight="1">
      <c r="A434" s="24"/>
    </row>
    <row r="435" ht="14.25" customHeight="1">
      <c r="A435" s="24"/>
    </row>
    <row r="436" ht="14.25" customHeight="1">
      <c r="A436" s="24"/>
    </row>
    <row r="437" ht="14.25" customHeight="1">
      <c r="A437" s="24"/>
    </row>
    <row r="438" ht="14.25" customHeight="1">
      <c r="A438" s="24"/>
    </row>
    <row r="439" ht="14.25" customHeight="1">
      <c r="A439" s="24"/>
    </row>
    <row r="440" ht="14.25" customHeight="1">
      <c r="A440" s="24"/>
    </row>
    <row r="441" ht="14.25" customHeight="1">
      <c r="A441" s="24"/>
    </row>
    <row r="442" ht="14.25" customHeight="1">
      <c r="A442" s="24"/>
    </row>
    <row r="443" ht="14.25" customHeight="1">
      <c r="A443" s="24"/>
    </row>
    <row r="444" ht="14.25" customHeight="1">
      <c r="A444" s="24"/>
    </row>
    <row r="445" ht="14.25" customHeight="1">
      <c r="A445" s="24"/>
    </row>
    <row r="446" ht="14.25" customHeight="1">
      <c r="A446" s="24"/>
    </row>
    <row r="447" ht="14.25" customHeight="1">
      <c r="A447" s="24"/>
    </row>
    <row r="448" ht="14.25" customHeight="1">
      <c r="A448" s="24"/>
    </row>
    <row r="449" ht="14.25" customHeight="1">
      <c r="A449" s="24"/>
    </row>
    <row r="450" ht="14.25" customHeight="1">
      <c r="A450" s="24"/>
    </row>
    <row r="451" ht="14.25" customHeight="1">
      <c r="A451" s="24"/>
    </row>
    <row r="452" ht="14.25" customHeight="1">
      <c r="A452" s="24"/>
    </row>
    <row r="453" ht="14.25" customHeight="1">
      <c r="A453" s="24"/>
    </row>
    <row r="454" ht="14.25" customHeight="1">
      <c r="A454" s="24"/>
    </row>
    <row r="455" ht="14.25" customHeight="1">
      <c r="A455" s="24"/>
    </row>
    <row r="456" ht="14.25" customHeight="1">
      <c r="A456" s="24"/>
    </row>
    <row r="457" ht="14.25" customHeight="1">
      <c r="A457" s="24"/>
    </row>
    <row r="458" ht="14.25" customHeight="1">
      <c r="A458" s="24"/>
    </row>
    <row r="459" ht="14.25" customHeight="1">
      <c r="A459" s="24"/>
    </row>
    <row r="460" ht="14.25" customHeight="1">
      <c r="A460" s="24"/>
    </row>
    <row r="461" ht="14.25" customHeight="1">
      <c r="A461" s="24"/>
    </row>
    <row r="462" ht="14.25" customHeight="1">
      <c r="A462" s="24"/>
    </row>
    <row r="463" ht="14.25" customHeight="1">
      <c r="A463" s="24"/>
    </row>
    <row r="464" ht="14.25" customHeight="1">
      <c r="A464" s="24"/>
    </row>
    <row r="465" ht="14.25" customHeight="1">
      <c r="A465" s="24"/>
    </row>
    <row r="466" ht="14.25" customHeight="1">
      <c r="A466" s="24"/>
    </row>
    <row r="467" ht="14.25" customHeight="1">
      <c r="A467" s="24"/>
    </row>
    <row r="468" ht="14.25" customHeight="1">
      <c r="A468" s="24"/>
    </row>
    <row r="469" ht="14.25" customHeight="1">
      <c r="A469" s="24"/>
    </row>
    <row r="470" ht="14.25" customHeight="1">
      <c r="A470" s="24"/>
    </row>
    <row r="471" ht="14.25" customHeight="1">
      <c r="A471" s="24"/>
    </row>
    <row r="472" ht="14.25" customHeight="1">
      <c r="A472" s="24"/>
    </row>
    <row r="473" ht="14.25" customHeight="1">
      <c r="A473" s="24"/>
    </row>
    <row r="474" ht="14.25" customHeight="1">
      <c r="A474" s="24"/>
    </row>
    <row r="475" ht="14.25" customHeight="1">
      <c r="A475" s="24"/>
    </row>
    <row r="476" ht="14.25" customHeight="1">
      <c r="A476" s="24"/>
    </row>
    <row r="477" ht="14.25" customHeight="1">
      <c r="A477" s="24"/>
    </row>
    <row r="478" ht="14.25" customHeight="1">
      <c r="A478" s="24"/>
    </row>
    <row r="479" ht="14.25" customHeight="1">
      <c r="A479" s="24"/>
    </row>
    <row r="480" ht="14.25" customHeight="1">
      <c r="A480" s="24"/>
    </row>
    <row r="481" ht="14.25" customHeight="1">
      <c r="A481" s="24"/>
    </row>
    <row r="482" ht="14.25" customHeight="1">
      <c r="A482" s="24"/>
    </row>
    <row r="483" ht="14.25" customHeight="1">
      <c r="A483" s="24"/>
    </row>
    <row r="484" ht="14.25" customHeight="1">
      <c r="A484" s="24"/>
    </row>
    <row r="485" ht="14.25" customHeight="1">
      <c r="A485" s="24"/>
    </row>
    <row r="486" ht="14.25" customHeight="1">
      <c r="A486" s="24"/>
    </row>
    <row r="487" ht="14.25" customHeight="1">
      <c r="A487" s="24"/>
    </row>
    <row r="488" ht="14.25" customHeight="1">
      <c r="A488" s="24"/>
    </row>
    <row r="489" ht="14.25" customHeight="1">
      <c r="A489" s="24"/>
    </row>
    <row r="490" ht="14.25" customHeight="1">
      <c r="A490" s="24"/>
    </row>
    <row r="491" ht="14.25" customHeight="1">
      <c r="A491" s="24"/>
    </row>
    <row r="492" ht="14.25" customHeight="1">
      <c r="A492" s="24"/>
    </row>
    <row r="493" ht="14.25" customHeight="1">
      <c r="A493" s="24"/>
    </row>
    <row r="494" ht="14.25" customHeight="1">
      <c r="A494" s="24"/>
    </row>
    <row r="495" ht="14.25" customHeight="1">
      <c r="A495" s="24"/>
    </row>
    <row r="496" ht="14.25" customHeight="1">
      <c r="A496" s="24"/>
    </row>
    <row r="497" ht="14.25" customHeight="1">
      <c r="A497" s="24"/>
    </row>
    <row r="498" ht="14.25" customHeight="1">
      <c r="A498" s="24"/>
    </row>
    <row r="499" ht="14.25" customHeight="1">
      <c r="A499" s="24"/>
    </row>
    <row r="500" ht="14.25" customHeight="1">
      <c r="A500" s="24"/>
    </row>
    <row r="501" ht="14.25" customHeight="1">
      <c r="A501" s="24"/>
    </row>
    <row r="502" ht="14.25" customHeight="1">
      <c r="A502" s="24"/>
    </row>
    <row r="503" ht="14.25" customHeight="1">
      <c r="A503" s="24"/>
    </row>
    <row r="504" ht="14.25" customHeight="1">
      <c r="A504" s="24"/>
    </row>
    <row r="505" ht="14.25" customHeight="1">
      <c r="A505" s="24"/>
    </row>
    <row r="506" ht="14.25" customHeight="1">
      <c r="A506" s="24"/>
    </row>
    <row r="507" ht="14.25" customHeight="1">
      <c r="A507" s="24"/>
    </row>
    <row r="508" ht="14.25" customHeight="1">
      <c r="A508" s="24"/>
    </row>
    <row r="509" ht="14.25" customHeight="1">
      <c r="A509" s="24"/>
    </row>
    <row r="510" ht="14.25" customHeight="1">
      <c r="A510" s="24"/>
    </row>
    <row r="511" ht="14.25" customHeight="1">
      <c r="A511" s="24"/>
    </row>
    <row r="512" ht="14.25" customHeight="1">
      <c r="A512" s="24"/>
    </row>
    <row r="513" ht="14.25" customHeight="1">
      <c r="A513" s="24"/>
    </row>
    <row r="514" ht="14.25" customHeight="1">
      <c r="A514" s="24"/>
    </row>
    <row r="515" ht="14.25" customHeight="1">
      <c r="A515" s="24"/>
    </row>
    <row r="516" ht="14.25" customHeight="1">
      <c r="A516" s="24"/>
    </row>
    <row r="517" ht="14.25" customHeight="1">
      <c r="A517" s="24"/>
    </row>
    <row r="518" ht="14.25" customHeight="1">
      <c r="A518" s="24"/>
    </row>
    <row r="519" ht="14.25" customHeight="1">
      <c r="A519" s="24"/>
    </row>
    <row r="520" ht="14.25" customHeight="1">
      <c r="A520" s="24"/>
    </row>
    <row r="521" ht="14.25" customHeight="1">
      <c r="A521" s="24"/>
    </row>
    <row r="522" ht="14.25" customHeight="1">
      <c r="A522" s="24"/>
    </row>
    <row r="523" ht="14.25" customHeight="1">
      <c r="A523" s="24"/>
    </row>
    <row r="524" ht="14.25" customHeight="1">
      <c r="A524" s="24"/>
    </row>
    <row r="525" ht="14.25" customHeight="1">
      <c r="A525" s="24"/>
    </row>
    <row r="526" ht="14.25" customHeight="1">
      <c r="A526" s="24"/>
    </row>
    <row r="527" ht="14.25" customHeight="1">
      <c r="A527" s="24"/>
    </row>
    <row r="528" ht="14.25" customHeight="1">
      <c r="A528" s="24"/>
    </row>
    <row r="529" ht="14.25" customHeight="1">
      <c r="A529" s="24"/>
    </row>
    <row r="530" ht="14.25" customHeight="1">
      <c r="A530" s="24"/>
    </row>
    <row r="531" ht="14.25" customHeight="1">
      <c r="A531" s="24"/>
    </row>
    <row r="532" ht="14.25" customHeight="1">
      <c r="A532" s="24"/>
    </row>
    <row r="533" ht="14.25" customHeight="1">
      <c r="A533" s="24"/>
    </row>
    <row r="534" ht="14.25" customHeight="1">
      <c r="A534" s="24"/>
    </row>
    <row r="535" ht="14.25" customHeight="1">
      <c r="A535" s="24"/>
    </row>
    <row r="536" ht="14.25" customHeight="1">
      <c r="A536" s="24"/>
    </row>
    <row r="537" ht="14.25" customHeight="1">
      <c r="A537" s="24"/>
    </row>
    <row r="538" ht="14.25" customHeight="1">
      <c r="A538" s="24"/>
    </row>
    <row r="539" ht="14.25" customHeight="1">
      <c r="A539" s="24"/>
    </row>
    <row r="540" ht="14.25" customHeight="1">
      <c r="A540" s="24"/>
    </row>
    <row r="541" ht="14.25" customHeight="1">
      <c r="A541" s="24"/>
    </row>
    <row r="542" ht="14.25" customHeight="1">
      <c r="A542" s="24"/>
    </row>
    <row r="543" ht="14.25" customHeight="1">
      <c r="A543" s="24"/>
    </row>
    <row r="544" ht="14.25" customHeight="1">
      <c r="A544" s="24"/>
    </row>
    <row r="545" ht="14.25" customHeight="1">
      <c r="A545" s="24"/>
    </row>
    <row r="546" ht="14.25" customHeight="1">
      <c r="A546" s="24"/>
    </row>
    <row r="547" ht="14.25" customHeight="1">
      <c r="A547" s="24"/>
    </row>
    <row r="548" ht="14.25" customHeight="1">
      <c r="A548" s="24"/>
    </row>
    <row r="549" ht="14.25" customHeight="1">
      <c r="A549" s="24"/>
    </row>
    <row r="550" ht="14.25" customHeight="1">
      <c r="A550" s="24"/>
    </row>
    <row r="551" ht="14.25" customHeight="1">
      <c r="A551" s="24"/>
    </row>
    <row r="552" ht="14.25" customHeight="1">
      <c r="A552" s="24"/>
    </row>
    <row r="553" ht="14.25" customHeight="1">
      <c r="A553" s="24"/>
    </row>
    <row r="554" ht="14.25" customHeight="1">
      <c r="A554" s="24"/>
    </row>
    <row r="555" ht="14.25" customHeight="1">
      <c r="A555" s="24"/>
    </row>
    <row r="556" ht="14.25" customHeight="1">
      <c r="A556" s="24"/>
    </row>
    <row r="557" ht="14.25" customHeight="1">
      <c r="A557" s="24"/>
    </row>
    <row r="558" ht="14.25" customHeight="1">
      <c r="A558" s="24"/>
    </row>
    <row r="559" ht="14.25" customHeight="1">
      <c r="A559" s="24"/>
    </row>
    <row r="560" ht="14.25" customHeight="1">
      <c r="A560" s="24"/>
    </row>
    <row r="561" ht="14.25" customHeight="1">
      <c r="A561" s="24"/>
    </row>
    <row r="562" ht="14.25" customHeight="1">
      <c r="A562" s="24"/>
    </row>
    <row r="563" ht="14.25" customHeight="1">
      <c r="A563" s="24"/>
    </row>
    <row r="564" ht="14.25" customHeight="1">
      <c r="A564" s="24"/>
    </row>
    <row r="565" ht="14.25" customHeight="1">
      <c r="A565" s="24"/>
    </row>
    <row r="566" ht="14.25" customHeight="1">
      <c r="A566" s="24"/>
    </row>
    <row r="567" ht="14.25" customHeight="1">
      <c r="A567" s="24"/>
    </row>
    <row r="568" ht="14.25" customHeight="1">
      <c r="A568" s="24"/>
    </row>
    <row r="569" ht="14.25" customHeight="1">
      <c r="A569" s="24"/>
    </row>
    <row r="570" ht="14.25" customHeight="1">
      <c r="A570" s="24"/>
    </row>
    <row r="571" ht="14.25" customHeight="1">
      <c r="A571" s="24"/>
    </row>
    <row r="572" ht="14.25" customHeight="1">
      <c r="A572" s="24"/>
    </row>
    <row r="573" ht="14.25" customHeight="1">
      <c r="A573" s="24"/>
    </row>
    <row r="574" ht="14.25" customHeight="1">
      <c r="A574" s="24"/>
    </row>
    <row r="575" ht="14.25" customHeight="1">
      <c r="A575" s="24"/>
    </row>
    <row r="576" ht="14.25" customHeight="1">
      <c r="A576" s="24"/>
    </row>
    <row r="577" ht="14.25" customHeight="1">
      <c r="A577" s="24"/>
    </row>
    <row r="578" ht="14.25" customHeight="1">
      <c r="A578" s="24"/>
    </row>
    <row r="579" ht="14.25" customHeight="1">
      <c r="A579" s="24"/>
    </row>
    <row r="580" ht="14.25" customHeight="1">
      <c r="A580" s="24"/>
    </row>
    <row r="581" ht="14.25" customHeight="1">
      <c r="A581" s="24"/>
    </row>
    <row r="582" ht="14.25" customHeight="1">
      <c r="A582" s="24"/>
    </row>
    <row r="583" ht="14.25" customHeight="1">
      <c r="A583" s="24"/>
    </row>
    <row r="584" ht="14.25" customHeight="1">
      <c r="A584" s="24"/>
    </row>
    <row r="585" ht="14.25" customHeight="1">
      <c r="A585" s="24"/>
    </row>
    <row r="586" ht="14.25" customHeight="1">
      <c r="A586" s="24"/>
    </row>
    <row r="587" ht="14.25" customHeight="1">
      <c r="A587" s="24"/>
    </row>
    <row r="588" ht="14.25" customHeight="1">
      <c r="A588" s="24"/>
    </row>
    <row r="589" ht="14.25" customHeight="1">
      <c r="A589" s="24"/>
    </row>
    <row r="590" ht="14.25" customHeight="1">
      <c r="A590" s="24"/>
    </row>
    <row r="591" ht="14.25" customHeight="1">
      <c r="A591" s="24"/>
    </row>
    <row r="592" ht="14.25" customHeight="1">
      <c r="A592" s="24"/>
    </row>
    <row r="593" ht="14.25" customHeight="1">
      <c r="A593" s="24"/>
    </row>
    <row r="594" ht="14.25" customHeight="1">
      <c r="A594" s="24"/>
    </row>
    <row r="595" ht="14.25" customHeight="1">
      <c r="A595" s="24"/>
    </row>
    <row r="596" ht="14.25" customHeight="1">
      <c r="A596" s="24"/>
    </row>
    <row r="597" ht="14.25" customHeight="1">
      <c r="A597" s="24"/>
    </row>
    <row r="598" ht="14.25" customHeight="1">
      <c r="A598" s="24"/>
    </row>
    <row r="599" ht="14.25" customHeight="1">
      <c r="A599" s="24"/>
    </row>
    <row r="600" ht="14.25" customHeight="1">
      <c r="A600" s="24"/>
    </row>
    <row r="601" ht="14.25" customHeight="1">
      <c r="A601" s="24"/>
    </row>
    <row r="602" ht="14.25" customHeight="1">
      <c r="A602" s="24"/>
    </row>
    <row r="603" ht="14.25" customHeight="1">
      <c r="A603" s="24"/>
    </row>
    <row r="604" ht="14.25" customHeight="1">
      <c r="A604" s="24"/>
    </row>
    <row r="605" ht="14.25" customHeight="1">
      <c r="A605" s="24"/>
    </row>
    <row r="606" ht="14.25" customHeight="1">
      <c r="A606" s="24"/>
    </row>
    <row r="607" ht="14.25" customHeight="1">
      <c r="A607" s="24"/>
    </row>
    <row r="608" ht="14.25" customHeight="1">
      <c r="A608" s="24"/>
    </row>
    <row r="609" ht="14.25" customHeight="1">
      <c r="A609" s="24"/>
    </row>
    <row r="610" ht="14.25" customHeight="1">
      <c r="A610" s="24"/>
    </row>
    <row r="611" ht="14.25" customHeight="1">
      <c r="A611" s="24"/>
    </row>
    <row r="612" ht="14.25" customHeight="1">
      <c r="A612" s="24"/>
    </row>
    <row r="613" ht="14.25" customHeight="1">
      <c r="A613" s="24"/>
    </row>
    <row r="614" ht="14.25" customHeight="1">
      <c r="A614" s="24"/>
    </row>
    <row r="615" ht="14.25" customHeight="1">
      <c r="A615" s="24"/>
    </row>
    <row r="616" ht="14.25" customHeight="1">
      <c r="A616" s="24"/>
    </row>
    <row r="617" ht="14.25" customHeight="1">
      <c r="A617" s="24"/>
    </row>
    <row r="618" ht="14.25" customHeight="1">
      <c r="A618" s="24"/>
    </row>
    <row r="619" ht="14.25" customHeight="1">
      <c r="A619" s="24"/>
    </row>
    <row r="620" ht="14.25" customHeight="1">
      <c r="A620" s="24"/>
    </row>
    <row r="621" ht="14.25" customHeight="1">
      <c r="A621" s="24"/>
    </row>
    <row r="622" ht="14.25" customHeight="1">
      <c r="A622" s="24"/>
    </row>
    <row r="623" ht="14.25" customHeight="1">
      <c r="A623" s="24"/>
    </row>
    <row r="624" ht="14.25" customHeight="1">
      <c r="A624" s="24"/>
    </row>
    <row r="625" ht="14.25" customHeight="1">
      <c r="A625" s="24"/>
    </row>
    <row r="626" ht="14.25" customHeight="1">
      <c r="A626" s="24"/>
    </row>
    <row r="627" ht="14.25" customHeight="1">
      <c r="A627" s="24"/>
    </row>
    <row r="628" ht="14.25" customHeight="1">
      <c r="A628" s="24"/>
    </row>
    <row r="629" ht="14.25" customHeight="1">
      <c r="A629" s="24"/>
    </row>
    <row r="630" ht="14.25" customHeight="1">
      <c r="A630" s="24"/>
    </row>
    <row r="631" ht="14.25" customHeight="1">
      <c r="A631" s="24"/>
    </row>
    <row r="632" ht="14.25" customHeight="1">
      <c r="A632" s="24"/>
    </row>
    <row r="633" ht="14.25" customHeight="1">
      <c r="A633" s="24"/>
    </row>
    <row r="634" ht="14.25" customHeight="1">
      <c r="A634" s="24"/>
    </row>
    <row r="635" ht="14.25" customHeight="1">
      <c r="A635" s="24"/>
    </row>
    <row r="636" ht="14.25" customHeight="1">
      <c r="A636" s="24"/>
    </row>
    <row r="637" ht="14.25" customHeight="1">
      <c r="A637" s="24"/>
    </row>
    <row r="638" ht="14.25" customHeight="1">
      <c r="A638" s="24"/>
    </row>
    <row r="639" ht="14.25" customHeight="1">
      <c r="A639" s="24"/>
    </row>
    <row r="640" ht="14.25" customHeight="1">
      <c r="A640" s="24"/>
    </row>
    <row r="641" ht="14.25" customHeight="1">
      <c r="A641" s="24"/>
    </row>
    <row r="642" ht="14.25" customHeight="1">
      <c r="A642" s="24"/>
    </row>
    <row r="643" ht="14.25" customHeight="1">
      <c r="A643" s="24"/>
    </row>
    <row r="644" ht="14.25" customHeight="1">
      <c r="A644" s="24"/>
    </row>
    <row r="645" ht="14.25" customHeight="1">
      <c r="A645" s="24"/>
    </row>
    <row r="646" ht="14.25" customHeight="1">
      <c r="A646" s="24"/>
    </row>
    <row r="647" ht="14.25" customHeight="1">
      <c r="A647" s="24"/>
    </row>
    <row r="648" ht="14.25" customHeight="1">
      <c r="A648" s="24"/>
    </row>
    <row r="649" ht="14.25" customHeight="1">
      <c r="A649" s="24"/>
    </row>
    <row r="650" ht="14.25" customHeight="1">
      <c r="A650" s="24"/>
    </row>
    <row r="651" ht="14.25" customHeight="1">
      <c r="A651" s="24"/>
    </row>
    <row r="652" ht="14.25" customHeight="1">
      <c r="A652" s="24"/>
    </row>
    <row r="653" ht="14.25" customHeight="1">
      <c r="A653" s="24"/>
    </row>
    <row r="654" ht="14.25" customHeight="1">
      <c r="A654" s="24"/>
    </row>
    <row r="655" ht="14.25" customHeight="1">
      <c r="A655" s="24"/>
    </row>
    <row r="656" ht="14.25" customHeight="1">
      <c r="A656" s="24"/>
    </row>
    <row r="657" ht="14.25" customHeight="1">
      <c r="A657" s="24"/>
    </row>
    <row r="658" ht="14.25" customHeight="1">
      <c r="A658" s="24"/>
    </row>
    <row r="659" ht="14.25" customHeight="1">
      <c r="A659" s="24"/>
    </row>
    <row r="660" ht="14.25" customHeight="1">
      <c r="A660" s="24"/>
    </row>
    <row r="661" ht="14.25" customHeight="1">
      <c r="A661" s="24"/>
    </row>
    <row r="662" ht="14.25" customHeight="1">
      <c r="A662" s="24"/>
    </row>
    <row r="663" ht="14.25" customHeight="1">
      <c r="A663" s="24"/>
    </row>
    <row r="664" ht="14.25" customHeight="1">
      <c r="A664" s="24"/>
    </row>
    <row r="665" ht="14.25" customHeight="1">
      <c r="A665" s="24"/>
    </row>
    <row r="666" ht="14.25" customHeight="1">
      <c r="A666" s="24"/>
    </row>
    <row r="667" ht="14.25" customHeight="1">
      <c r="A667" s="24"/>
    </row>
    <row r="668" ht="14.25" customHeight="1">
      <c r="A668" s="24"/>
    </row>
    <row r="669" ht="14.25" customHeight="1">
      <c r="A669" s="24"/>
    </row>
    <row r="670" ht="14.25" customHeight="1">
      <c r="A670" s="24"/>
    </row>
    <row r="671" ht="14.25" customHeight="1">
      <c r="A671" s="24"/>
    </row>
    <row r="672" ht="14.25" customHeight="1">
      <c r="A672" s="24"/>
    </row>
    <row r="673" ht="14.25" customHeight="1">
      <c r="A673" s="24"/>
    </row>
    <row r="674" ht="14.25" customHeight="1">
      <c r="A674" s="24"/>
    </row>
    <row r="675" ht="14.25" customHeight="1">
      <c r="A675" s="24"/>
    </row>
    <row r="676" ht="14.25" customHeight="1">
      <c r="A676" s="24"/>
    </row>
    <row r="677" ht="14.25" customHeight="1">
      <c r="A677" s="24"/>
    </row>
    <row r="678" ht="14.25" customHeight="1">
      <c r="A678" s="24"/>
    </row>
    <row r="679" ht="14.25" customHeight="1">
      <c r="A679" s="24"/>
    </row>
    <row r="680" ht="14.25" customHeight="1">
      <c r="A680" s="24"/>
    </row>
    <row r="681" ht="14.25" customHeight="1">
      <c r="A681" s="24"/>
    </row>
    <row r="682" ht="14.25" customHeight="1">
      <c r="A682" s="24"/>
    </row>
    <row r="683" ht="14.25" customHeight="1">
      <c r="A683" s="24"/>
    </row>
    <row r="684" ht="14.25" customHeight="1">
      <c r="A684" s="24"/>
    </row>
    <row r="685" ht="14.25" customHeight="1">
      <c r="A685" s="24"/>
    </row>
    <row r="686" ht="14.25" customHeight="1">
      <c r="A686" s="24"/>
    </row>
    <row r="687" ht="14.25" customHeight="1">
      <c r="A687" s="24"/>
    </row>
    <row r="688" ht="14.25" customHeight="1">
      <c r="A688" s="24"/>
    </row>
    <row r="689" ht="14.25" customHeight="1">
      <c r="A689" s="24"/>
    </row>
    <row r="690" ht="14.25" customHeight="1">
      <c r="A690" s="24"/>
    </row>
    <row r="691" ht="14.25" customHeight="1">
      <c r="A691" s="24"/>
    </row>
    <row r="692" ht="14.25" customHeight="1">
      <c r="A692" s="24"/>
    </row>
    <row r="693" ht="14.25" customHeight="1">
      <c r="A693" s="24"/>
    </row>
    <row r="694" ht="14.25" customHeight="1">
      <c r="A694" s="24"/>
    </row>
    <row r="695" ht="14.25" customHeight="1">
      <c r="A695" s="24"/>
    </row>
    <row r="696" ht="14.25" customHeight="1">
      <c r="A696" s="24"/>
    </row>
    <row r="697" ht="14.25" customHeight="1">
      <c r="A697" s="24"/>
    </row>
    <row r="698" ht="14.25" customHeight="1">
      <c r="A698" s="24"/>
    </row>
    <row r="699" ht="14.25" customHeight="1">
      <c r="A699" s="24"/>
    </row>
    <row r="700" ht="14.25" customHeight="1">
      <c r="A700" s="24"/>
    </row>
    <row r="701" ht="14.25" customHeight="1">
      <c r="A701" s="24"/>
    </row>
    <row r="702" ht="14.25" customHeight="1">
      <c r="A702" s="24"/>
    </row>
    <row r="703" ht="14.25" customHeight="1">
      <c r="A703" s="24"/>
    </row>
    <row r="704" ht="14.25" customHeight="1">
      <c r="A704" s="24"/>
    </row>
    <row r="705" ht="14.25" customHeight="1">
      <c r="A705" s="24"/>
    </row>
    <row r="706" ht="14.25" customHeight="1">
      <c r="A706" s="24"/>
    </row>
    <row r="707" ht="14.25" customHeight="1">
      <c r="A707" s="24"/>
    </row>
    <row r="708" ht="14.25" customHeight="1">
      <c r="A708" s="24"/>
    </row>
    <row r="709" ht="14.25" customHeight="1">
      <c r="A709" s="24"/>
    </row>
    <row r="710" ht="14.25" customHeight="1">
      <c r="A710" s="24"/>
    </row>
    <row r="711" ht="14.25" customHeight="1">
      <c r="A711" s="24"/>
    </row>
    <row r="712" ht="14.25" customHeight="1">
      <c r="A712" s="24"/>
    </row>
    <row r="713" ht="14.25" customHeight="1">
      <c r="A713" s="24"/>
    </row>
    <row r="714" ht="14.25" customHeight="1">
      <c r="A714" s="24"/>
    </row>
    <row r="715" ht="14.25" customHeight="1">
      <c r="A715" s="24"/>
    </row>
    <row r="716" ht="14.25" customHeight="1">
      <c r="A716" s="24"/>
    </row>
    <row r="717" ht="14.25" customHeight="1">
      <c r="A717" s="24"/>
    </row>
    <row r="718" ht="14.25" customHeight="1">
      <c r="A718" s="24"/>
    </row>
    <row r="719" ht="14.25" customHeight="1">
      <c r="A719" s="24"/>
    </row>
    <row r="720" ht="14.25" customHeight="1">
      <c r="A720" s="24"/>
    </row>
    <row r="721" ht="14.25" customHeight="1">
      <c r="A721" s="24"/>
    </row>
    <row r="722" ht="14.25" customHeight="1">
      <c r="A722" s="24"/>
    </row>
    <row r="723" ht="14.25" customHeight="1">
      <c r="A723" s="24"/>
    </row>
    <row r="724" ht="14.25" customHeight="1">
      <c r="A724" s="24"/>
    </row>
    <row r="725" ht="14.25" customHeight="1">
      <c r="A725" s="24"/>
    </row>
    <row r="726" ht="14.25" customHeight="1">
      <c r="A726" s="24"/>
    </row>
    <row r="727" ht="14.25" customHeight="1">
      <c r="A727" s="24"/>
    </row>
    <row r="728" ht="14.25" customHeight="1">
      <c r="A728" s="24"/>
    </row>
    <row r="729" ht="14.25" customHeight="1">
      <c r="A729" s="24"/>
    </row>
    <row r="730" ht="14.25" customHeight="1">
      <c r="A730" s="24"/>
    </row>
    <row r="731" ht="14.25" customHeight="1">
      <c r="A731" s="24"/>
    </row>
    <row r="732" ht="14.25" customHeight="1">
      <c r="A732" s="24"/>
    </row>
    <row r="733" ht="14.25" customHeight="1">
      <c r="A733" s="24"/>
    </row>
    <row r="734" ht="14.25" customHeight="1">
      <c r="A734" s="24"/>
    </row>
    <row r="735" ht="14.25" customHeight="1">
      <c r="A735" s="24"/>
    </row>
    <row r="736" ht="14.25" customHeight="1">
      <c r="A736" s="24"/>
    </row>
    <row r="737" ht="14.25" customHeight="1">
      <c r="A737" s="24"/>
    </row>
    <row r="738" ht="14.25" customHeight="1">
      <c r="A738" s="24"/>
    </row>
    <row r="739" ht="14.25" customHeight="1">
      <c r="A739" s="24"/>
    </row>
    <row r="740" ht="14.25" customHeight="1">
      <c r="A740" s="24"/>
    </row>
    <row r="741" ht="14.25" customHeight="1">
      <c r="A741" s="24"/>
    </row>
    <row r="742" ht="14.25" customHeight="1">
      <c r="A742" s="24"/>
    </row>
    <row r="743" ht="14.25" customHeight="1">
      <c r="A743" s="24"/>
    </row>
    <row r="744" ht="14.25" customHeight="1">
      <c r="A744" s="24"/>
    </row>
    <row r="745" ht="14.25" customHeight="1">
      <c r="A745" s="24"/>
    </row>
    <row r="746" ht="14.25" customHeight="1">
      <c r="A746" s="24"/>
    </row>
    <row r="747" ht="14.25" customHeight="1">
      <c r="A747" s="24"/>
    </row>
    <row r="748" ht="14.25" customHeight="1">
      <c r="A748" s="24"/>
    </row>
    <row r="749" ht="14.25" customHeight="1">
      <c r="A749" s="24"/>
    </row>
    <row r="750" ht="14.25" customHeight="1">
      <c r="A750" s="24"/>
    </row>
    <row r="751" ht="14.25" customHeight="1">
      <c r="A751" s="24"/>
    </row>
    <row r="752" ht="14.25" customHeight="1">
      <c r="A752" s="24"/>
    </row>
    <row r="753" ht="14.25" customHeight="1">
      <c r="A753" s="24"/>
    </row>
    <row r="754" ht="14.25" customHeight="1">
      <c r="A754" s="24"/>
    </row>
    <row r="755" ht="14.25" customHeight="1">
      <c r="A755" s="24"/>
    </row>
    <row r="756" ht="14.25" customHeight="1">
      <c r="A756" s="24"/>
    </row>
    <row r="757" ht="14.25" customHeight="1">
      <c r="A757" s="24"/>
    </row>
    <row r="758" ht="14.25" customHeight="1">
      <c r="A758" s="24"/>
    </row>
    <row r="759" ht="14.25" customHeight="1">
      <c r="A759" s="24"/>
    </row>
    <row r="760" ht="14.25" customHeight="1">
      <c r="A760" s="24"/>
    </row>
    <row r="761" ht="14.25" customHeight="1">
      <c r="A761" s="24"/>
    </row>
    <row r="762" ht="14.25" customHeight="1">
      <c r="A762" s="24"/>
    </row>
    <row r="763" ht="14.25" customHeight="1">
      <c r="A763" s="24"/>
    </row>
    <row r="764" ht="14.25" customHeight="1">
      <c r="A764" s="24"/>
    </row>
    <row r="765" ht="14.25" customHeight="1">
      <c r="A765" s="24"/>
    </row>
    <row r="766" ht="14.25" customHeight="1">
      <c r="A766" s="24"/>
    </row>
    <row r="767" ht="14.25" customHeight="1">
      <c r="A767" s="24"/>
    </row>
    <row r="768" ht="14.25" customHeight="1">
      <c r="A768" s="24"/>
    </row>
    <row r="769" ht="14.25" customHeight="1">
      <c r="A769" s="24"/>
    </row>
    <row r="770" ht="14.25" customHeight="1">
      <c r="A770" s="24"/>
    </row>
    <row r="771" ht="14.25" customHeight="1">
      <c r="A771" s="24"/>
    </row>
    <row r="772" ht="14.25" customHeight="1">
      <c r="A772" s="24"/>
    </row>
    <row r="773" ht="14.25" customHeight="1">
      <c r="A773" s="24"/>
    </row>
    <row r="774" ht="14.25" customHeight="1">
      <c r="A774" s="24"/>
    </row>
    <row r="775" ht="14.25" customHeight="1">
      <c r="A775" s="24"/>
    </row>
    <row r="776" ht="14.25" customHeight="1">
      <c r="A776" s="24"/>
    </row>
    <row r="777" ht="14.25" customHeight="1">
      <c r="A777" s="24"/>
    </row>
    <row r="778" ht="14.25" customHeight="1">
      <c r="A778" s="24"/>
    </row>
    <row r="779" ht="14.25" customHeight="1">
      <c r="A779" s="24"/>
    </row>
    <row r="780" ht="14.25" customHeight="1">
      <c r="A780" s="24"/>
    </row>
    <row r="781" ht="14.25" customHeight="1">
      <c r="A781" s="24"/>
    </row>
    <row r="782" ht="14.25" customHeight="1">
      <c r="A782" s="24"/>
    </row>
    <row r="783" ht="14.25" customHeight="1">
      <c r="A783" s="24"/>
    </row>
    <row r="784" ht="14.25" customHeight="1">
      <c r="A784" s="24"/>
    </row>
    <row r="785" ht="14.25" customHeight="1">
      <c r="A785" s="24"/>
    </row>
    <row r="786" ht="14.25" customHeight="1">
      <c r="A786" s="24"/>
    </row>
    <row r="787" ht="14.25" customHeight="1">
      <c r="A787" s="24"/>
    </row>
    <row r="788" ht="14.25" customHeight="1">
      <c r="A788" s="24"/>
    </row>
    <row r="789" ht="14.25" customHeight="1">
      <c r="A789" s="24"/>
    </row>
    <row r="790" ht="14.25" customHeight="1">
      <c r="A790" s="24"/>
    </row>
    <row r="791" ht="14.25" customHeight="1">
      <c r="A791" s="24"/>
    </row>
    <row r="792" ht="14.25" customHeight="1">
      <c r="A792" s="24"/>
    </row>
    <row r="793" ht="14.25" customHeight="1">
      <c r="A793" s="24"/>
    </row>
    <row r="794" ht="14.25" customHeight="1">
      <c r="A794" s="24"/>
    </row>
    <row r="795" ht="14.25" customHeight="1">
      <c r="A795" s="24"/>
    </row>
    <row r="796" ht="14.25" customHeight="1">
      <c r="A796" s="24"/>
    </row>
    <row r="797" ht="14.25" customHeight="1">
      <c r="A797" s="24"/>
    </row>
    <row r="798" ht="14.25" customHeight="1">
      <c r="A798" s="24"/>
    </row>
    <row r="799" ht="14.25" customHeight="1">
      <c r="A799" s="24"/>
    </row>
    <row r="800" ht="14.25" customHeight="1">
      <c r="A800" s="24"/>
    </row>
    <row r="801" ht="14.25" customHeight="1">
      <c r="A801" s="24"/>
    </row>
    <row r="802" ht="14.25" customHeight="1">
      <c r="A802" s="24"/>
    </row>
    <row r="803" ht="14.25" customHeight="1">
      <c r="A803" s="24"/>
    </row>
    <row r="804" ht="14.25" customHeight="1">
      <c r="A804" s="24"/>
    </row>
    <row r="805" ht="14.25" customHeight="1">
      <c r="A805" s="24"/>
    </row>
    <row r="806" ht="14.25" customHeight="1">
      <c r="A806" s="24"/>
    </row>
    <row r="807" ht="14.25" customHeight="1">
      <c r="A807" s="24"/>
    </row>
    <row r="808" ht="14.25" customHeight="1">
      <c r="A808" s="24"/>
    </row>
    <row r="809" ht="14.25" customHeight="1">
      <c r="A809" s="24"/>
    </row>
    <row r="810" ht="14.25" customHeight="1">
      <c r="A810" s="24"/>
    </row>
    <row r="811" ht="14.25" customHeight="1">
      <c r="A811" s="24"/>
    </row>
    <row r="812" ht="14.25" customHeight="1">
      <c r="A812" s="24"/>
    </row>
    <row r="813" ht="14.25" customHeight="1">
      <c r="A813" s="24"/>
    </row>
    <row r="814" ht="14.25" customHeight="1">
      <c r="A814" s="24"/>
    </row>
    <row r="815" ht="14.25" customHeight="1">
      <c r="A815" s="24"/>
    </row>
    <row r="816" ht="14.25" customHeight="1">
      <c r="A816" s="24"/>
    </row>
    <row r="817" ht="14.25" customHeight="1">
      <c r="A817" s="24"/>
    </row>
    <row r="818" ht="14.25" customHeight="1">
      <c r="A818" s="24"/>
    </row>
    <row r="819" ht="14.25" customHeight="1">
      <c r="A819" s="24"/>
    </row>
    <row r="820" ht="14.25" customHeight="1">
      <c r="A820" s="24"/>
    </row>
    <row r="821" ht="14.25" customHeight="1">
      <c r="A821" s="24"/>
    </row>
    <row r="822" ht="14.25" customHeight="1">
      <c r="A822" s="24"/>
    </row>
    <row r="823" ht="14.25" customHeight="1">
      <c r="A823" s="24"/>
    </row>
    <row r="824" ht="14.25" customHeight="1">
      <c r="A824" s="24"/>
    </row>
    <row r="825" ht="14.25" customHeight="1">
      <c r="A825" s="24"/>
    </row>
    <row r="826" ht="14.25" customHeight="1">
      <c r="A826" s="24"/>
    </row>
    <row r="827" ht="14.25" customHeight="1">
      <c r="A827" s="24"/>
    </row>
    <row r="828" ht="14.25" customHeight="1">
      <c r="A828" s="24"/>
    </row>
    <row r="829" ht="14.25" customHeight="1">
      <c r="A829" s="24"/>
    </row>
    <row r="830" ht="14.25" customHeight="1">
      <c r="A830" s="24"/>
    </row>
    <row r="831" ht="14.25" customHeight="1">
      <c r="A831" s="24"/>
    </row>
    <row r="832" ht="14.25" customHeight="1">
      <c r="A832" s="24"/>
    </row>
    <row r="833" ht="14.25" customHeight="1">
      <c r="A833" s="24"/>
    </row>
    <row r="834" ht="14.25" customHeight="1">
      <c r="A834" s="24"/>
    </row>
    <row r="835" ht="14.25" customHeight="1">
      <c r="A835" s="24"/>
    </row>
    <row r="836" ht="14.25" customHeight="1">
      <c r="A836" s="24"/>
    </row>
    <row r="837" ht="14.25" customHeight="1">
      <c r="A837" s="24"/>
    </row>
    <row r="838" ht="14.25" customHeight="1">
      <c r="A838" s="24"/>
    </row>
    <row r="839" ht="14.25" customHeight="1">
      <c r="A839" s="24"/>
    </row>
    <row r="840" ht="14.25" customHeight="1">
      <c r="A840" s="24"/>
    </row>
    <row r="841" ht="14.25" customHeight="1">
      <c r="A841" s="24"/>
    </row>
    <row r="842" ht="14.25" customHeight="1">
      <c r="A842" s="24"/>
    </row>
    <row r="843" ht="14.25" customHeight="1">
      <c r="A843" s="24"/>
    </row>
    <row r="844" ht="14.25" customHeight="1">
      <c r="A844" s="24"/>
    </row>
    <row r="845" ht="14.25" customHeight="1">
      <c r="A845" s="24"/>
    </row>
    <row r="846" ht="14.25" customHeight="1">
      <c r="A846" s="24"/>
    </row>
    <row r="847" ht="14.25" customHeight="1">
      <c r="A847" s="24"/>
    </row>
    <row r="848" ht="14.25" customHeight="1">
      <c r="A848" s="24"/>
    </row>
    <row r="849" ht="14.25" customHeight="1">
      <c r="A849" s="24"/>
    </row>
    <row r="850" ht="14.25" customHeight="1">
      <c r="A850" s="24"/>
    </row>
    <row r="851" ht="14.25" customHeight="1">
      <c r="A851" s="24"/>
    </row>
    <row r="852" ht="14.25" customHeight="1">
      <c r="A852" s="24"/>
    </row>
    <row r="853" ht="14.25" customHeight="1">
      <c r="A853" s="24"/>
    </row>
    <row r="854" ht="14.25" customHeight="1">
      <c r="A854" s="24"/>
    </row>
    <row r="855" ht="14.25" customHeight="1">
      <c r="A855" s="24"/>
    </row>
    <row r="856" ht="14.25" customHeight="1">
      <c r="A856" s="24"/>
    </row>
    <row r="857" ht="14.25" customHeight="1">
      <c r="A857" s="24"/>
    </row>
    <row r="858" ht="14.25" customHeight="1">
      <c r="A858" s="24"/>
    </row>
    <row r="859" ht="14.25" customHeight="1">
      <c r="A859" s="24"/>
    </row>
    <row r="860" ht="14.25" customHeight="1">
      <c r="A860" s="24"/>
    </row>
    <row r="861" ht="14.25" customHeight="1">
      <c r="A861" s="24"/>
    </row>
    <row r="862" ht="14.25" customHeight="1">
      <c r="A862" s="24"/>
    </row>
    <row r="863" ht="14.25" customHeight="1">
      <c r="A863" s="24"/>
    </row>
    <row r="864" ht="14.25" customHeight="1">
      <c r="A864" s="24"/>
    </row>
    <row r="865" ht="14.25" customHeight="1">
      <c r="A865" s="24"/>
    </row>
    <row r="866" ht="14.25" customHeight="1">
      <c r="A866" s="24"/>
    </row>
    <row r="867" ht="14.25" customHeight="1">
      <c r="A867" s="24"/>
    </row>
    <row r="868" ht="14.25" customHeight="1">
      <c r="A868" s="24"/>
    </row>
    <row r="869" ht="14.25" customHeight="1">
      <c r="A869" s="24"/>
    </row>
    <row r="870" ht="14.25" customHeight="1">
      <c r="A870" s="24"/>
    </row>
    <row r="871" ht="14.25" customHeight="1">
      <c r="A871" s="24"/>
    </row>
    <row r="872" ht="14.25" customHeight="1">
      <c r="A872" s="24"/>
    </row>
    <row r="873" ht="14.25" customHeight="1">
      <c r="A873" s="24"/>
    </row>
    <row r="874" ht="14.25" customHeight="1">
      <c r="A874" s="24"/>
    </row>
    <row r="875" ht="14.25" customHeight="1">
      <c r="A875" s="24"/>
    </row>
    <row r="876" ht="14.25" customHeight="1">
      <c r="A876" s="24"/>
    </row>
    <row r="877" ht="14.25" customHeight="1">
      <c r="A877" s="24"/>
    </row>
    <row r="878" ht="14.25" customHeight="1">
      <c r="A878" s="24"/>
    </row>
    <row r="879" ht="14.25" customHeight="1">
      <c r="A879" s="24"/>
    </row>
    <row r="880" ht="14.25" customHeight="1">
      <c r="A880" s="24"/>
    </row>
    <row r="881" ht="14.25" customHeight="1">
      <c r="A881" s="24"/>
    </row>
    <row r="882" ht="14.25" customHeight="1">
      <c r="A882" s="24"/>
    </row>
    <row r="883" ht="14.25" customHeight="1">
      <c r="A883" s="24"/>
    </row>
    <row r="884" ht="14.25" customHeight="1">
      <c r="A884" s="24"/>
    </row>
    <row r="885" ht="14.25" customHeight="1">
      <c r="A885" s="24"/>
    </row>
    <row r="886" ht="14.25" customHeight="1">
      <c r="A886" s="24"/>
    </row>
    <row r="887" ht="14.25" customHeight="1">
      <c r="A887" s="24"/>
    </row>
    <row r="888" ht="14.25" customHeight="1">
      <c r="A888" s="24"/>
    </row>
    <row r="889" ht="14.25" customHeight="1">
      <c r="A889" s="24"/>
    </row>
    <row r="890" ht="14.25" customHeight="1">
      <c r="A890" s="24"/>
    </row>
    <row r="891" ht="14.25" customHeight="1">
      <c r="A891" s="24"/>
    </row>
    <row r="892" ht="14.25" customHeight="1">
      <c r="A892" s="24"/>
    </row>
    <row r="893" ht="14.25" customHeight="1">
      <c r="A893" s="24"/>
    </row>
    <row r="894" ht="14.25" customHeight="1">
      <c r="A894" s="24"/>
    </row>
    <row r="895" ht="14.25" customHeight="1">
      <c r="A895" s="24"/>
    </row>
    <row r="896" ht="14.25" customHeight="1">
      <c r="A896" s="24"/>
    </row>
    <row r="897" ht="14.25" customHeight="1">
      <c r="A897" s="24"/>
    </row>
    <row r="898" ht="14.25" customHeight="1">
      <c r="A898" s="24"/>
    </row>
    <row r="899" ht="14.25" customHeight="1">
      <c r="A899" s="24"/>
    </row>
    <row r="900" ht="14.25" customHeight="1">
      <c r="A900" s="24"/>
    </row>
    <row r="901" ht="14.25" customHeight="1">
      <c r="A901" s="24"/>
    </row>
    <row r="902" ht="14.25" customHeight="1">
      <c r="A902" s="24"/>
    </row>
    <row r="903" ht="14.25" customHeight="1">
      <c r="A903" s="24"/>
    </row>
    <row r="904" ht="14.25" customHeight="1">
      <c r="A904" s="24"/>
    </row>
    <row r="905" ht="14.25" customHeight="1">
      <c r="A905" s="24"/>
    </row>
    <row r="906" ht="14.25" customHeight="1">
      <c r="A906" s="24"/>
    </row>
    <row r="907" ht="14.25" customHeight="1">
      <c r="A907" s="24"/>
    </row>
    <row r="908" ht="14.25" customHeight="1">
      <c r="A908" s="24"/>
    </row>
    <row r="909" ht="14.25" customHeight="1">
      <c r="A909" s="24"/>
    </row>
    <row r="910" ht="14.25" customHeight="1">
      <c r="A910" s="24"/>
    </row>
    <row r="911" ht="14.25" customHeight="1">
      <c r="A911" s="24"/>
    </row>
    <row r="912" ht="14.25" customHeight="1">
      <c r="A912" s="24"/>
    </row>
    <row r="913" ht="14.25" customHeight="1">
      <c r="A913" s="24"/>
    </row>
    <row r="914" ht="14.25" customHeight="1">
      <c r="A914" s="24"/>
    </row>
    <row r="915" ht="14.25" customHeight="1">
      <c r="A915" s="24"/>
    </row>
    <row r="916" ht="14.25" customHeight="1">
      <c r="A916" s="24"/>
    </row>
    <row r="917" ht="14.25" customHeight="1">
      <c r="A917" s="24"/>
    </row>
    <row r="918" ht="14.25" customHeight="1">
      <c r="A918" s="24"/>
    </row>
    <row r="919" ht="14.25" customHeight="1">
      <c r="A919" s="24"/>
    </row>
    <row r="920" ht="14.25" customHeight="1">
      <c r="A920" s="24"/>
    </row>
    <row r="921" ht="14.25" customHeight="1">
      <c r="A921" s="24"/>
    </row>
    <row r="922" ht="14.25" customHeight="1">
      <c r="A922" s="24"/>
    </row>
    <row r="923" ht="14.25" customHeight="1">
      <c r="A923" s="24"/>
    </row>
    <row r="924" ht="14.25" customHeight="1">
      <c r="A924" s="24"/>
    </row>
    <row r="925" ht="14.25" customHeight="1">
      <c r="A925" s="24"/>
    </row>
    <row r="926" ht="14.25" customHeight="1">
      <c r="A926" s="24"/>
    </row>
    <row r="927" ht="14.25" customHeight="1">
      <c r="A927" s="24"/>
    </row>
    <row r="928" ht="14.25" customHeight="1">
      <c r="A928" s="24"/>
    </row>
    <row r="929" ht="14.25" customHeight="1">
      <c r="A929" s="24"/>
    </row>
    <row r="930" ht="14.25" customHeight="1">
      <c r="A930" s="24"/>
    </row>
    <row r="931" ht="14.25" customHeight="1">
      <c r="A931" s="24"/>
    </row>
    <row r="932" ht="14.25" customHeight="1">
      <c r="A932" s="24"/>
    </row>
    <row r="933" ht="14.25" customHeight="1">
      <c r="A933" s="24"/>
    </row>
    <row r="934" ht="14.25" customHeight="1">
      <c r="A934" s="24"/>
    </row>
    <row r="935" ht="14.25" customHeight="1">
      <c r="A935" s="24"/>
    </row>
    <row r="936" ht="14.25" customHeight="1">
      <c r="A936" s="24"/>
    </row>
    <row r="937" ht="14.25" customHeight="1">
      <c r="A937" s="24"/>
    </row>
    <row r="938" ht="14.25" customHeight="1">
      <c r="A938" s="24"/>
    </row>
    <row r="939" ht="14.25" customHeight="1">
      <c r="A939" s="24"/>
    </row>
    <row r="940" ht="14.25" customHeight="1">
      <c r="A940" s="24"/>
    </row>
    <row r="941" ht="14.25" customHeight="1">
      <c r="A941" s="24"/>
    </row>
    <row r="942" ht="14.25" customHeight="1">
      <c r="A942" s="24"/>
    </row>
    <row r="943" ht="14.25" customHeight="1">
      <c r="A943" s="24"/>
    </row>
    <row r="944" ht="14.25" customHeight="1">
      <c r="A944" s="24"/>
    </row>
    <row r="945" ht="14.25" customHeight="1">
      <c r="A945" s="24"/>
    </row>
    <row r="946" ht="14.25" customHeight="1">
      <c r="A946" s="24"/>
    </row>
    <row r="947" ht="14.25" customHeight="1">
      <c r="A947" s="24"/>
    </row>
    <row r="948" ht="14.25" customHeight="1">
      <c r="A948" s="24"/>
    </row>
    <row r="949" ht="14.25" customHeight="1">
      <c r="A949" s="24"/>
    </row>
    <row r="950" ht="14.25" customHeight="1">
      <c r="A950" s="24"/>
    </row>
    <row r="951" ht="14.25" customHeight="1">
      <c r="A951" s="24"/>
    </row>
    <row r="952" ht="14.25" customHeight="1">
      <c r="A952" s="24"/>
    </row>
    <row r="953" ht="14.25" customHeight="1">
      <c r="A953" s="24"/>
    </row>
    <row r="954" ht="14.25" customHeight="1">
      <c r="A954" s="24"/>
    </row>
    <row r="955" ht="14.25" customHeight="1">
      <c r="A955" s="24"/>
    </row>
    <row r="956" ht="14.25" customHeight="1">
      <c r="A956" s="24"/>
    </row>
    <row r="957" ht="14.25" customHeight="1">
      <c r="A957" s="24"/>
    </row>
    <row r="958" ht="14.25" customHeight="1">
      <c r="A958" s="24"/>
    </row>
    <row r="959" ht="14.25" customHeight="1">
      <c r="A959" s="24"/>
    </row>
    <row r="960" ht="14.25" customHeight="1">
      <c r="A960" s="24"/>
    </row>
    <row r="961" ht="14.25" customHeight="1">
      <c r="A961" s="24"/>
    </row>
    <row r="962" ht="14.25" customHeight="1">
      <c r="A962" s="24"/>
    </row>
    <row r="963" ht="14.25" customHeight="1">
      <c r="A963" s="24"/>
    </row>
    <row r="964" ht="14.25" customHeight="1">
      <c r="A964" s="24"/>
    </row>
    <row r="965" ht="14.25" customHeight="1">
      <c r="A965" s="24"/>
    </row>
    <row r="966" ht="14.25" customHeight="1">
      <c r="A966" s="24"/>
    </row>
    <row r="967" ht="14.25" customHeight="1">
      <c r="A967" s="24"/>
    </row>
    <row r="968" ht="14.25" customHeight="1">
      <c r="A968" s="24"/>
    </row>
    <row r="969" ht="14.25" customHeight="1">
      <c r="A969" s="24"/>
    </row>
    <row r="970" ht="14.25" customHeight="1">
      <c r="A970" s="24"/>
    </row>
    <row r="971" ht="14.25" customHeight="1">
      <c r="A971" s="24"/>
    </row>
    <row r="972" ht="14.25" customHeight="1">
      <c r="A972" s="24"/>
    </row>
    <row r="973" ht="14.25" customHeight="1">
      <c r="A973" s="24"/>
    </row>
    <row r="974" ht="14.25" customHeight="1">
      <c r="A974" s="24"/>
    </row>
    <row r="975" ht="14.25" customHeight="1">
      <c r="A975" s="24"/>
    </row>
    <row r="976" ht="14.25" customHeight="1">
      <c r="A976" s="24"/>
    </row>
    <row r="977" ht="14.25" customHeight="1">
      <c r="A977" s="24"/>
    </row>
    <row r="978" ht="14.25" customHeight="1">
      <c r="A978" s="24"/>
    </row>
    <row r="979" ht="14.25" customHeight="1">
      <c r="A979" s="24"/>
    </row>
    <row r="980" ht="14.25" customHeight="1">
      <c r="A980" s="24"/>
    </row>
    <row r="981" ht="14.25" customHeight="1">
      <c r="A981" s="24"/>
    </row>
    <row r="982" ht="14.25" customHeight="1">
      <c r="A982" s="24"/>
    </row>
    <row r="983" ht="14.25" customHeight="1">
      <c r="A983" s="24"/>
    </row>
    <row r="984" ht="14.25" customHeight="1">
      <c r="A984" s="24"/>
    </row>
    <row r="985" ht="14.25" customHeight="1">
      <c r="A985" s="24"/>
    </row>
    <row r="986" ht="14.25" customHeight="1">
      <c r="A986" s="24"/>
    </row>
    <row r="987" ht="14.25" customHeight="1">
      <c r="A987" s="24"/>
    </row>
    <row r="988" ht="14.25" customHeight="1">
      <c r="A988" s="24"/>
    </row>
    <row r="989" ht="14.25" customHeight="1">
      <c r="A989" s="24"/>
    </row>
    <row r="990" ht="14.25" customHeight="1">
      <c r="A990" s="24"/>
    </row>
    <row r="991" ht="14.25" customHeight="1">
      <c r="A991" s="24"/>
    </row>
    <row r="992" ht="14.25" customHeight="1">
      <c r="A992" s="24"/>
    </row>
    <row r="993" ht="14.25" customHeight="1">
      <c r="A993" s="24"/>
    </row>
    <row r="994" ht="14.25" customHeight="1">
      <c r="A994" s="24"/>
    </row>
    <row r="995" ht="14.25" customHeight="1">
      <c r="A995" s="24"/>
    </row>
    <row r="996" ht="14.25" customHeight="1">
      <c r="A996" s="24"/>
    </row>
    <row r="997" ht="14.25" customHeight="1">
      <c r="A997" s="24"/>
    </row>
    <row r="998" ht="14.25" customHeight="1">
      <c r="A998" s="24"/>
    </row>
    <row r="999" ht="14.25" customHeight="1">
      <c r="A999" s="24"/>
    </row>
    <row r="1000" ht="14.25" customHeight="1">
      <c r="A1000" s="24"/>
    </row>
  </sheetData>
  <mergeCells count="25">
    <mergeCell ref="B2:C4"/>
    <mergeCell ref="D2:G4"/>
    <mergeCell ref="B5:C5"/>
    <mergeCell ref="D5:G5"/>
    <mergeCell ref="B6:C6"/>
    <mergeCell ref="D6:G6"/>
    <mergeCell ref="D7:G7"/>
    <mergeCell ref="D16:E16"/>
    <mergeCell ref="F16:G16"/>
    <mergeCell ref="D8:G8"/>
    <mergeCell ref="D9:G9"/>
    <mergeCell ref="D10:G10"/>
    <mergeCell ref="D11:G11"/>
    <mergeCell ref="B12:G12"/>
    <mergeCell ref="D13:G14"/>
    <mergeCell ref="D15:G15"/>
    <mergeCell ref="B16:C16"/>
    <mergeCell ref="B52:C52"/>
    <mergeCell ref="B7:C7"/>
    <mergeCell ref="B8:C8"/>
    <mergeCell ref="B9:C9"/>
    <mergeCell ref="B10:C10"/>
    <mergeCell ref="B11:C11"/>
    <mergeCell ref="B13:C14"/>
    <mergeCell ref="B15:C15"/>
  </mergeCells>
  <printOptions/>
  <pageMargins bottom="0.7480314960629921" footer="0.0" header="0.0" left="0.2362204724409449" right="0.2362204724409449" top="0.4330708661417323"/>
  <pageSetup paperSize="9" orientation="landscape"/>
  <headerFooter>
    <oddFooter>&amp;LAnexo 1 - MS-0028930_Rev.03 - Registro de ensaio de ajuste cônico ABNT NBR ISO 80369-7 e 20.&amp;RPágina &amp;P de 2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36.29"/>
    <col customWidth="1" min="3" max="3" width="39.71"/>
    <col customWidth="1" min="4" max="4" width="35.43"/>
    <col customWidth="1" min="5" max="5" width="21.71"/>
    <col customWidth="1" min="6" max="6" width="30.29"/>
    <col customWidth="1" min="7" max="7" width="14.43"/>
    <col customWidth="1" min="8" max="26" width="9.14"/>
  </cols>
  <sheetData>
    <row r="1" ht="14.25" customHeight="1"/>
    <row r="2" ht="14.25" customHeight="1">
      <c r="A2" s="1"/>
      <c r="B2" s="108"/>
      <c r="C2" s="3" t="s">
        <v>69</v>
      </c>
      <c r="D2" s="4"/>
    </row>
    <row r="3" ht="14.25" customHeight="1">
      <c r="A3" s="1"/>
      <c r="B3" s="5"/>
      <c r="C3" s="6"/>
      <c r="D3" s="7"/>
    </row>
    <row r="4" ht="14.25" customHeight="1">
      <c r="A4" s="1"/>
      <c r="B4" s="8"/>
      <c r="C4" s="9"/>
      <c r="D4" s="10"/>
    </row>
    <row r="5" ht="14.25" customHeight="1">
      <c r="A5" s="1"/>
      <c r="B5" s="11" t="s">
        <v>1</v>
      </c>
      <c r="C5" s="12"/>
      <c r="D5" s="13"/>
    </row>
    <row r="6" ht="14.25" customHeight="1">
      <c r="A6" s="1"/>
      <c r="B6" s="11" t="s">
        <v>2</v>
      </c>
      <c r="C6" s="14"/>
      <c r="D6" s="13"/>
    </row>
    <row r="7" ht="14.25" customHeight="1">
      <c r="A7" s="1"/>
      <c r="B7" s="11" t="s">
        <v>3</v>
      </c>
      <c r="C7" s="14" t="s">
        <v>70</v>
      </c>
      <c r="D7" s="13"/>
    </row>
    <row r="8" ht="14.25" customHeight="1">
      <c r="A8" s="1"/>
      <c r="B8" s="11" t="s">
        <v>5</v>
      </c>
      <c r="C8" s="14"/>
      <c r="D8" s="13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3"/>
    </row>
    <row r="10" ht="18.0" customHeight="1">
      <c r="A10" s="1"/>
      <c r="B10" s="15" t="s">
        <v>8</v>
      </c>
      <c r="C10" s="16"/>
      <c r="D10" s="13"/>
    </row>
    <row r="11" ht="14.25" customHeight="1">
      <c r="A11" s="1"/>
      <c r="B11" s="11" t="s">
        <v>9</v>
      </c>
      <c r="C11" s="14"/>
      <c r="D11" s="13"/>
    </row>
    <row r="12" ht="14.25" customHeight="1">
      <c r="A12" s="1"/>
      <c r="B12" s="97" t="s">
        <v>10</v>
      </c>
      <c r="C12" s="18"/>
      <c r="D12" s="13"/>
    </row>
    <row r="13" ht="28.5" customHeight="1">
      <c r="A13" s="1"/>
      <c r="B13" s="15" t="s">
        <v>11</v>
      </c>
      <c r="C13" s="109" t="s">
        <v>71</v>
      </c>
      <c r="D13" s="13"/>
    </row>
    <row r="14" ht="14.25" customHeight="1">
      <c r="A14" s="1"/>
      <c r="B14" s="11" t="s">
        <v>13</v>
      </c>
      <c r="C14" s="20"/>
      <c r="D14" s="13"/>
    </row>
    <row r="15" ht="14.25" customHeight="1">
      <c r="A15" s="1"/>
      <c r="B15" s="11" t="s">
        <v>14</v>
      </c>
      <c r="C15" s="11" t="s">
        <v>72</v>
      </c>
      <c r="D15" s="110" t="s">
        <v>73</v>
      </c>
    </row>
    <row r="16" ht="14.25" customHeight="1">
      <c r="A16" s="1"/>
      <c r="B16" s="1"/>
      <c r="C16" s="65"/>
    </row>
    <row r="17" ht="14.25" customHeight="1"/>
    <row r="18" ht="14.25" customHeight="1">
      <c r="B18" s="111" t="s">
        <v>74</v>
      </c>
      <c r="C18" s="112">
        <v>6.22</v>
      </c>
      <c r="E18" s="113" t="s">
        <v>75</v>
      </c>
      <c r="F18" s="114">
        <v>0.005</v>
      </c>
    </row>
    <row r="19" ht="14.25" customHeight="1">
      <c r="B19" s="111" t="s">
        <v>76</v>
      </c>
      <c r="C19" s="112">
        <v>-80.0</v>
      </c>
    </row>
    <row r="20" ht="14.25" customHeight="1">
      <c r="B20" s="115" t="s">
        <v>77</v>
      </c>
      <c r="C20" s="115" t="s">
        <v>78</v>
      </c>
      <c r="D20" s="115" t="s">
        <v>79</v>
      </c>
      <c r="E20" s="116" t="s">
        <v>80</v>
      </c>
      <c r="F20" s="115" t="s">
        <v>81</v>
      </c>
      <c r="G20" s="115" t="s">
        <v>82</v>
      </c>
    </row>
    <row r="21" ht="14.25" customHeight="1">
      <c r="A21" s="98">
        <v>1.0</v>
      </c>
      <c r="B21" s="117"/>
      <c r="C21" s="117"/>
      <c r="D21" s="118" t="str">
        <f t="shared" ref="D21:D52" si="1">IF(B21="","",ABS((C21-B21)*1000))</f>
        <v/>
      </c>
      <c r="E21" s="119"/>
      <c r="F21" s="120" t="str">
        <f t="shared" ref="F21:F52" si="2">IF(B21="","",ABS(($C$19/B21))*($C$18*0.000001)*(D21/E21))</f>
        <v/>
      </c>
      <c r="G21" s="119" t="str">
        <f t="shared" ref="G21:G52" si="3">IF(F21="","",IF(F21&lt;=$F$18,"Conforme","Não Conforme"))</f>
        <v/>
      </c>
    </row>
    <row r="22" ht="14.25" customHeight="1">
      <c r="A22" s="98">
        <v>2.0</v>
      </c>
      <c r="B22" s="117"/>
      <c r="C22" s="117"/>
      <c r="D22" s="118" t="str">
        <f t="shared" si="1"/>
        <v/>
      </c>
      <c r="E22" s="119"/>
      <c r="F22" s="120" t="str">
        <f t="shared" si="2"/>
        <v/>
      </c>
      <c r="G22" s="119" t="str">
        <f t="shared" si="3"/>
        <v/>
      </c>
    </row>
    <row r="23" ht="14.25" customHeight="1">
      <c r="A23" s="98">
        <v>3.0</v>
      </c>
      <c r="B23" s="117"/>
      <c r="C23" s="117"/>
      <c r="D23" s="118" t="str">
        <f t="shared" si="1"/>
        <v/>
      </c>
      <c r="E23" s="119"/>
      <c r="F23" s="120" t="str">
        <f t="shared" si="2"/>
        <v/>
      </c>
      <c r="G23" s="119" t="str">
        <f t="shared" si="3"/>
        <v/>
      </c>
    </row>
    <row r="24" ht="14.25" customHeight="1">
      <c r="A24" s="98">
        <v>4.0</v>
      </c>
      <c r="B24" s="117"/>
      <c r="C24" s="117"/>
      <c r="D24" s="118" t="str">
        <f t="shared" si="1"/>
        <v/>
      </c>
      <c r="E24" s="119"/>
      <c r="F24" s="120" t="str">
        <f t="shared" si="2"/>
        <v/>
      </c>
      <c r="G24" s="119" t="str">
        <f t="shared" si="3"/>
        <v/>
      </c>
    </row>
    <row r="25" ht="14.25" customHeight="1">
      <c r="A25" s="98">
        <v>5.0</v>
      </c>
      <c r="B25" s="117"/>
      <c r="C25" s="117"/>
      <c r="D25" s="118" t="str">
        <f t="shared" si="1"/>
        <v/>
      </c>
      <c r="E25" s="119"/>
      <c r="F25" s="120" t="str">
        <f t="shared" si="2"/>
        <v/>
      </c>
      <c r="G25" s="119" t="str">
        <f t="shared" si="3"/>
        <v/>
      </c>
    </row>
    <row r="26" ht="14.25" customHeight="1">
      <c r="A26" s="98">
        <v>6.0</v>
      </c>
      <c r="B26" s="117"/>
      <c r="C26" s="117"/>
      <c r="D26" s="118" t="str">
        <f t="shared" si="1"/>
        <v/>
      </c>
      <c r="E26" s="119"/>
      <c r="F26" s="120" t="str">
        <f t="shared" si="2"/>
        <v/>
      </c>
      <c r="G26" s="119" t="str">
        <f t="shared" si="3"/>
        <v/>
      </c>
    </row>
    <row r="27" ht="14.25" customHeight="1">
      <c r="A27" s="98">
        <v>7.0</v>
      </c>
      <c r="B27" s="117"/>
      <c r="C27" s="117"/>
      <c r="D27" s="118" t="str">
        <f t="shared" si="1"/>
        <v/>
      </c>
      <c r="E27" s="119"/>
      <c r="F27" s="120" t="str">
        <f t="shared" si="2"/>
        <v/>
      </c>
      <c r="G27" s="119" t="str">
        <f t="shared" si="3"/>
        <v/>
      </c>
    </row>
    <row r="28" ht="14.25" customHeight="1">
      <c r="A28" s="98">
        <v>8.0</v>
      </c>
      <c r="B28" s="117"/>
      <c r="C28" s="117"/>
      <c r="D28" s="118" t="str">
        <f t="shared" si="1"/>
        <v/>
      </c>
      <c r="E28" s="119"/>
      <c r="F28" s="120" t="str">
        <f t="shared" si="2"/>
        <v/>
      </c>
      <c r="G28" s="119" t="str">
        <f t="shared" si="3"/>
        <v/>
      </c>
    </row>
    <row r="29" ht="14.25" customHeight="1">
      <c r="A29" s="98">
        <v>9.0</v>
      </c>
      <c r="B29" s="117"/>
      <c r="C29" s="117"/>
      <c r="D29" s="118" t="str">
        <f t="shared" si="1"/>
        <v/>
      </c>
      <c r="E29" s="119"/>
      <c r="F29" s="120" t="str">
        <f t="shared" si="2"/>
        <v/>
      </c>
      <c r="G29" s="119" t="str">
        <f t="shared" si="3"/>
        <v/>
      </c>
    </row>
    <row r="30" ht="14.25" customHeight="1">
      <c r="A30" s="98">
        <v>10.0</v>
      </c>
      <c r="B30" s="117"/>
      <c r="C30" s="117"/>
      <c r="D30" s="118" t="str">
        <f t="shared" si="1"/>
        <v/>
      </c>
      <c r="E30" s="119"/>
      <c r="F30" s="120" t="str">
        <f t="shared" si="2"/>
        <v/>
      </c>
      <c r="G30" s="119" t="str">
        <f t="shared" si="3"/>
        <v/>
      </c>
    </row>
    <row r="31" ht="14.25" customHeight="1">
      <c r="A31" s="98">
        <v>11.0</v>
      </c>
      <c r="B31" s="117"/>
      <c r="C31" s="117"/>
      <c r="D31" s="118" t="str">
        <f t="shared" si="1"/>
        <v/>
      </c>
      <c r="E31" s="119"/>
      <c r="F31" s="120" t="str">
        <f t="shared" si="2"/>
        <v/>
      </c>
      <c r="G31" s="119" t="str">
        <f t="shared" si="3"/>
        <v/>
      </c>
    </row>
    <row r="32" ht="14.25" customHeight="1">
      <c r="A32" s="98">
        <v>12.0</v>
      </c>
      <c r="B32" s="117"/>
      <c r="C32" s="117"/>
      <c r="D32" s="118" t="str">
        <f t="shared" si="1"/>
        <v/>
      </c>
      <c r="E32" s="119"/>
      <c r="F32" s="120" t="str">
        <f t="shared" si="2"/>
        <v/>
      </c>
      <c r="G32" s="119" t="str">
        <f t="shared" si="3"/>
        <v/>
      </c>
    </row>
    <row r="33" ht="14.25" customHeight="1">
      <c r="A33" s="98">
        <v>13.0</v>
      </c>
      <c r="B33" s="117"/>
      <c r="C33" s="117"/>
      <c r="D33" s="118" t="str">
        <f t="shared" si="1"/>
        <v/>
      </c>
      <c r="E33" s="119"/>
      <c r="F33" s="120" t="str">
        <f t="shared" si="2"/>
        <v/>
      </c>
      <c r="G33" s="119" t="str">
        <f t="shared" si="3"/>
        <v/>
      </c>
    </row>
    <row r="34" ht="14.25" customHeight="1">
      <c r="A34" s="98">
        <v>14.0</v>
      </c>
      <c r="B34" s="117"/>
      <c r="C34" s="117"/>
      <c r="D34" s="118" t="str">
        <f t="shared" si="1"/>
        <v/>
      </c>
      <c r="E34" s="119"/>
      <c r="F34" s="120" t="str">
        <f t="shared" si="2"/>
        <v/>
      </c>
      <c r="G34" s="119" t="str">
        <f t="shared" si="3"/>
        <v/>
      </c>
    </row>
    <row r="35" ht="14.25" customHeight="1">
      <c r="A35" s="98">
        <v>15.0</v>
      </c>
      <c r="B35" s="117"/>
      <c r="C35" s="117"/>
      <c r="D35" s="118" t="str">
        <f t="shared" si="1"/>
        <v/>
      </c>
      <c r="E35" s="119"/>
      <c r="F35" s="120" t="str">
        <f t="shared" si="2"/>
        <v/>
      </c>
      <c r="G35" s="119" t="str">
        <f t="shared" si="3"/>
        <v/>
      </c>
    </row>
    <row r="36" ht="14.25" customHeight="1">
      <c r="A36" s="98">
        <v>16.0</v>
      </c>
      <c r="B36" s="117"/>
      <c r="C36" s="117"/>
      <c r="D36" s="118" t="str">
        <f t="shared" si="1"/>
        <v/>
      </c>
      <c r="E36" s="119"/>
      <c r="F36" s="120" t="str">
        <f t="shared" si="2"/>
        <v/>
      </c>
      <c r="G36" s="119" t="str">
        <f t="shared" si="3"/>
        <v/>
      </c>
    </row>
    <row r="37" ht="14.25" customHeight="1">
      <c r="A37" s="98">
        <v>17.0</v>
      </c>
      <c r="B37" s="117"/>
      <c r="C37" s="117"/>
      <c r="D37" s="118" t="str">
        <f t="shared" si="1"/>
        <v/>
      </c>
      <c r="E37" s="119"/>
      <c r="F37" s="120" t="str">
        <f t="shared" si="2"/>
        <v/>
      </c>
      <c r="G37" s="119" t="str">
        <f t="shared" si="3"/>
        <v/>
      </c>
    </row>
    <row r="38" ht="14.25" customHeight="1">
      <c r="A38" s="98">
        <v>18.0</v>
      </c>
      <c r="B38" s="117"/>
      <c r="C38" s="117"/>
      <c r="D38" s="118" t="str">
        <f t="shared" si="1"/>
        <v/>
      </c>
      <c r="E38" s="119"/>
      <c r="F38" s="120" t="str">
        <f t="shared" si="2"/>
        <v/>
      </c>
      <c r="G38" s="119" t="str">
        <f t="shared" si="3"/>
        <v/>
      </c>
    </row>
    <row r="39" ht="14.25" customHeight="1">
      <c r="A39" s="98">
        <v>19.0</v>
      </c>
      <c r="B39" s="117"/>
      <c r="C39" s="117"/>
      <c r="D39" s="118" t="str">
        <f t="shared" si="1"/>
        <v/>
      </c>
      <c r="E39" s="119"/>
      <c r="F39" s="120" t="str">
        <f t="shared" si="2"/>
        <v/>
      </c>
      <c r="G39" s="119" t="str">
        <f t="shared" si="3"/>
        <v/>
      </c>
    </row>
    <row r="40" ht="14.25" customHeight="1">
      <c r="A40" s="98">
        <v>20.0</v>
      </c>
      <c r="B40" s="117"/>
      <c r="C40" s="117"/>
      <c r="D40" s="118" t="str">
        <f t="shared" si="1"/>
        <v/>
      </c>
      <c r="E40" s="119"/>
      <c r="F40" s="120" t="str">
        <f t="shared" si="2"/>
        <v/>
      </c>
      <c r="G40" s="119" t="str">
        <f t="shared" si="3"/>
        <v/>
      </c>
    </row>
    <row r="41" ht="14.25" customHeight="1">
      <c r="A41" s="98">
        <v>21.0</v>
      </c>
      <c r="B41" s="117"/>
      <c r="C41" s="117"/>
      <c r="D41" s="118" t="str">
        <f t="shared" si="1"/>
        <v/>
      </c>
      <c r="E41" s="119"/>
      <c r="F41" s="120" t="str">
        <f t="shared" si="2"/>
        <v/>
      </c>
      <c r="G41" s="119" t="str">
        <f t="shared" si="3"/>
        <v/>
      </c>
    </row>
    <row r="42" ht="14.25" customHeight="1">
      <c r="A42" s="98">
        <v>22.0</v>
      </c>
      <c r="B42" s="117"/>
      <c r="C42" s="117"/>
      <c r="D42" s="118" t="str">
        <f t="shared" si="1"/>
        <v/>
      </c>
      <c r="E42" s="119"/>
      <c r="F42" s="120" t="str">
        <f t="shared" si="2"/>
        <v/>
      </c>
      <c r="G42" s="119" t="str">
        <f t="shared" si="3"/>
        <v/>
      </c>
    </row>
    <row r="43" ht="14.25" customHeight="1">
      <c r="A43" s="98">
        <v>23.0</v>
      </c>
      <c r="B43" s="117"/>
      <c r="C43" s="117"/>
      <c r="D43" s="118" t="str">
        <f t="shared" si="1"/>
        <v/>
      </c>
      <c r="E43" s="119"/>
      <c r="F43" s="120" t="str">
        <f t="shared" si="2"/>
        <v/>
      </c>
      <c r="G43" s="119" t="str">
        <f t="shared" si="3"/>
        <v/>
      </c>
    </row>
    <row r="44" ht="14.25" customHeight="1">
      <c r="A44" s="98">
        <v>24.0</v>
      </c>
      <c r="B44" s="117"/>
      <c r="C44" s="117"/>
      <c r="D44" s="118" t="str">
        <f t="shared" si="1"/>
        <v/>
      </c>
      <c r="E44" s="119"/>
      <c r="F44" s="120" t="str">
        <f t="shared" si="2"/>
        <v/>
      </c>
      <c r="G44" s="119" t="str">
        <f t="shared" si="3"/>
        <v/>
      </c>
    </row>
    <row r="45" ht="14.25" customHeight="1">
      <c r="A45" s="98">
        <v>25.0</v>
      </c>
      <c r="B45" s="117"/>
      <c r="C45" s="117"/>
      <c r="D45" s="118" t="str">
        <f t="shared" si="1"/>
        <v/>
      </c>
      <c r="E45" s="119"/>
      <c r="F45" s="120" t="str">
        <f t="shared" si="2"/>
        <v/>
      </c>
      <c r="G45" s="119" t="str">
        <f t="shared" si="3"/>
        <v/>
      </c>
    </row>
    <row r="46" ht="14.25" customHeight="1">
      <c r="A46" s="98">
        <v>26.0</v>
      </c>
      <c r="B46" s="117"/>
      <c r="C46" s="117"/>
      <c r="D46" s="118" t="str">
        <f t="shared" si="1"/>
        <v/>
      </c>
      <c r="E46" s="119"/>
      <c r="F46" s="120" t="str">
        <f t="shared" si="2"/>
        <v/>
      </c>
      <c r="G46" s="119" t="str">
        <f t="shared" si="3"/>
        <v/>
      </c>
    </row>
    <row r="47" ht="14.25" customHeight="1">
      <c r="A47" s="98">
        <v>27.0</v>
      </c>
      <c r="B47" s="117"/>
      <c r="C47" s="117"/>
      <c r="D47" s="118" t="str">
        <f t="shared" si="1"/>
        <v/>
      </c>
      <c r="E47" s="119"/>
      <c r="F47" s="120" t="str">
        <f t="shared" si="2"/>
        <v/>
      </c>
      <c r="G47" s="119" t="str">
        <f t="shared" si="3"/>
        <v/>
      </c>
    </row>
    <row r="48" ht="14.25" customHeight="1">
      <c r="A48" s="98">
        <v>28.0</v>
      </c>
      <c r="B48" s="117"/>
      <c r="C48" s="117"/>
      <c r="D48" s="118" t="str">
        <f t="shared" si="1"/>
        <v/>
      </c>
      <c r="E48" s="119"/>
      <c r="F48" s="120" t="str">
        <f t="shared" si="2"/>
        <v/>
      </c>
      <c r="G48" s="119" t="str">
        <f t="shared" si="3"/>
        <v/>
      </c>
    </row>
    <row r="49" ht="14.25" customHeight="1">
      <c r="A49" s="98">
        <v>29.0</v>
      </c>
      <c r="B49" s="117"/>
      <c r="C49" s="117"/>
      <c r="D49" s="118" t="str">
        <f t="shared" si="1"/>
        <v/>
      </c>
      <c r="E49" s="119"/>
      <c r="F49" s="120" t="str">
        <f t="shared" si="2"/>
        <v/>
      </c>
      <c r="G49" s="119" t="str">
        <f t="shared" si="3"/>
        <v/>
      </c>
    </row>
    <row r="50" ht="14.25" customHeight="1">
      <c r="A50" s="98">
        <v>30.0</v>
      </c>
      <c r="B50" s="117"/>
      <c r="C50" s="117"/>
      <c r="D50" s="118" t="str">
        <f t="shared" si="1"/>
        <v/>
      </c>
      <c r="E50" s="119"/>
      <c r="F50" s="120" t="str">
        <f t="shared" si="2"/>
        <v/>
      </c>
      <c r="G50" s="119" t="str">
        <f t="shared" si="3"/>
        <v/>
      </c>
    </row>
    <row r="51" ht="14.25" customHeight="1">
      <c r="A51" s="98">
        <v>31.0</v>
      </c>
      <c r="B51" s="117"/>
      <c r="C51" s="117"/>
      <c r="D51" s="118" t="str">
        <f t="shared" si="1"/>
        <v/>
      </c>
      <c r="E51" s="119"/>
      <c r="F51" s="120" t="str">
        <f t="shared" si="2"/>
        <v/>
      </c>
      <c r="G51" s="119" t="str">
        <f t="shared" si="3"/>
        <v/>
      </c>
    </row>
    <row r="52" ht="14.25" customHeight="1">
      <c r="A52" s="98">
        <v>32.0</v>
      </c>
      <c r="B52" s="117"/>
      <c r="C52" s="117"/>
      <c r="D52" s="118" t="str">
        <f t="shared" si="1"/>
        <v/>
      </c>
      <c r="E52" s="119"/>
      <c r="F52" s="120" t="str">
        <f t="shared" si="2"/>
        <v/>
      </c>
      <c r="G52" s="119" t="str">
        <f t="shared" si="3"/>
        <v/>
      </c>
    </row>
    <row r="53" ht="12.75" customHeight="1">
      <c r="B53" s="121" t="s">
        <v>36</v>
      </c>
      <c r="C53" s="122"/>
    </row>
    <row r="54" ht="6.0" hidden="1" customHeight="1"/>
    <row r="55" ht="14.25" customHeight="1">
      <c r="B55" s="123"/>
    </row>
    <row r="56" ht="14.25" customHeight="1"/>
    <row r="57" ht="14.25" customHeight="1"/>
    <row r="58" ht="14.25" customHeight="1"/>
    <row r="59" ht="14.25" customHeight="1">
      <c r="B59" s="98" t="s">
        <v>83</v>
      </c>
    </row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C10:D10"/>
    <mergeCell ref="C11:D11"/>
    <mergeCell ref="B12:D12"/>
    <mergeCell ref="C13:D13"/>
    <mergeCell ref="C14:D14"/>
    <mergeCell ref="C16:D16"/>
    <mergeCell ref="B55:D55"/>
    <mergeCell ref="B2:B4"/>
    <mergeCell ref="C2:D4"/>
    <mergeCell ref="C5:D5"/>
    <mergeCell ref="C6:D6"/>
    <mergeCell ref="C7:D7"/>
    <mergeCell ref="C8:D8"/>
    <mergeCell ref="C9:D9"/>
  </mergeCells>
  <printOptions/>
  <pageMargins bottom="0.7874015748031497" footer="0.0" header="0.0" left="0.5118110236220472" right="0.5118110236220472" top="0.4485"/>
  <pageSetup paperSize="9" orientation="landscape"/>
  <headerFooter>
    <oddFooter>&amp;LMS-0028924-13 Rev.01 - Volume residual&amp;RPágina &amp;P de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4.71"/>
    <col customWidth="1" min="2" max="2" width="30.43"/>
    <col customWidth="1" min="3" max="3" width="28.43"/>
    <col customWidth="1" min="4" max="4" width="29.0"/>
    <col customWidth="1" min="5" max="5" width="29.29"/>
    <col customWidth="1" min="6" max="6" width="28.86"/>
    <col customWidth="1" min="7" max="26" width="8.71"/>
  </cols>
  <sheetData>
    <row r="1" ht="14.25" customHeight="1">
      <c r="A1" s="1"/>
      <c r="B1" s="1"/>
      <c r="C1" s="1"/>
      <c r="D1" s="1"/>
      <c r="E1" s="1"/>
      <c r="F1" s="1"/>
    </row>
    <row r="2" ht="14.25" customHeight="1">
      <c r="A2" s="1"/>
      <c r="B2" s="124"/>
      <c r="C2" s="3" t="s">
        <v>84</v>
      </c>
      <c r="D2" s="53"/>
      <c r="E2" s="53"/>
      <c r="F2" s="4"/>
    </row>
    <row r="3" ht="14.25" customHeight="1">
      <c r="A3" s="1"/>
      <c r="B3" s="125"/>
      <c r="C3" s="6"/>
      <c r="F3" s="7"/>
    </row>
    <row r="4" ht="14.25" customHeight="1">
      <c r="A4" s="1"/>
      <c r="B4" s="126"/>
      <c r="C4" s="9"/>
      <c r="D4" s="55"/>
      <c r="E4" s="55"/>
      <c r="F4" s="10"/>
    </row>
    <row r="5" ht="14.25" customHeight="1">
      <c r="A5" s="1"/>
      <c r="B5" s="14" t="s">
        <v>1</v>
      </c>
      <c r="C5" s="12"/>
      <c r="D5" s="127"/>
      <c r="E5" s="127"/>
      <c r="F5" s="56"/>
    </row>
    <row r="6" ht="14.25" customHeight="1">
      <c r="A6" s="1"/>
      <c r="B6" s="14" t="s">
        <v>2</v>
      </c>
      <c r="C6" s="14"/>
      <c r="D6" s="127"/>
      <c r="E6" s="127"/>
      <c r="F6" s="56"/>
    </row>
    <row r="7" ht="14.25" customHeight="1">
      <c r="A7" s="1"/>
      <c r="B7" s="14" t="s">
        <v>3</v>
      </c>
      <c r="C7" s="14" t="s">
        <v>85</v>
      </c>
      <c r="D7" s="127"/>
      <c r="E7" s="127"/>
      <c r="F7" s="56"/>
    </row>
    <row r="8" ht="14.25" customHeight="1">
      <c r="A8" s="1"/>
      <c r="B8" s="14" t="s">
        <v>5</v>
      </c>
      <c r="C8" s="14"/>
      <c r="D8" s="127"/>
      <c r="E8" s="127"/>
      <c r="F8" s="56"/>
    </row>
    <row r="9" ht="14.25" customHeight="1">
      <c r="A9" s="1"/>
      <c r="B9" s="14" t="s">
        <v>6</v>
      </c>
      <c r="C9" s="14" t="str">
        <f>'MS- 0028921 Limpeza'!C9</f>
        <v>Agulha hipodérmica estéril para uso único</v>
      </c>
      <c r="D9" s="127"/>
      <c r="E9" s="127"/>
      <c r="F9" s="56"/>
    </row>
    <row r="10" ht="14.25" customHeight="1">
      <c r="A10" s="1"/>
      <c r="B10" s="14" t="s">
        <v>8</v>
      </c>
      <c r="C10" s="14"/>
      <c r="D10" s="127"/>
      <c r="E10" s="127"/>
      <c r="F10" s="56"/>
    </row>
    <row r="11" ht="14.25" customHeight="1">
      <c r="A11" s="1"/>
      <c r="B11" s="14" t="s">
        <v>9</v>
      </c>
      <c r="C11" s="128"/>
      <c r="D11" s="127"/>
      <c r="E11" s="127"/>
      <c r="F11" s="56"/>
    </row>
    <row r="12" ht="14.25" customHeight="1">
      <c r="A12" s="1"/>
      <c r="B12" s="17" t="s">
        <v>10</v>
      </c>
      <c r="C12" s="18"/>
      <c r="D12" s="18"/>
      <c r="E12" s="18"/>
      <c r="F12" s="13"/>
    </row>
    <row r="13" ht="14.25" customHeight="1">
      <c r="A13" s="1"/>
      <c r="B13" s="110" t="s">
        <v>11</v>
      </c>
      <c r="C13" s="129" t="s">
        <v>86</v>
      </c>
      <c r="D13" s="21"/>
      <c r="E13" s="127"/>
      <c r="F13" s="56"/>
    </row>
    <row r="14" ht="14.25" customHeight="1">
      <c r="A14" s="1"/>
      <c r="B14" s="110" t="s">
        <v>13</v>
      </c>
      <c r="C14" s="20"/>
      <c r="D14" s="18"/>
      <c r="E14" s="18"/>
      <c r="F14" s="13"/>
      <c r="G14" s="130"/>
    </row>
    <row r="15" ht="14.25" customHeight="1">
      <c r="A15" s="1"/>
      <c r="B15" s="110" t="s">
        <v>14</v>
      </c>
      <c r="C15" s="14" t="s">
        <v>15</v>
      </c>
      <c r="D15" s="14" t="s">
        <v>16</v>
      </c>
      <c r="E15" s="18"/>
      <c r="F15" s="131"/>
    </row>
    <row r="16" ht="14.25" customHeight="1">
      <c r="A16" s="1"/>
      <c r="B16" s="1"/>
      <c r="C16" s="1"/>
      <c r="D16" s="1"/>
      <c r="E16" s="64"/>
      <c r="F16" s="65"/>
    </row>
    <row r="17" ht="14.25" customHeight="1">
      <c r="A17" s="1"/>
      <c r="B17" s="1"/>
      <c r="C17" s="1"/>
      <c r="D17" s="1"/>
      <c r="E17" s="64"/>
      <c r="F17" s="65"/>
    </row>
    <row r="18" ht="14.25" customHeight="1">
      <c r="A18" s="1"/>
      <c r="B18" s="1"/>
      <c r="C18" s="1"/>
      <c r="D18" s="1"/>
      <c r="E18" s="63"/>
    </row>
    <row r="19" ht="14.25" customHeight="1">
      <c r="A19" s="1"/>
      <c r="B19" s="132" t="s">
        <v>87</v>
      </c>
      <c r="C19" s="132" t="s">
        <v>88</v>
      </c>
      <c r="D19" s="132" t="s">
        <v>89</v>
      </c>
      <c r="E19" s="132" t="s">
        <v>90</v>
      </c>
      <c r="F19" s="132" t="s">
        <v>91</v>
      </c>
    </row>
    <row r="20" ht="14.25" customHeight="1">
      <c r="A20" s="1"/>
      <c r="B20" s="47" t="s">
        <v>92</v>
      </c>
      <c r="C20" s="133" t="s">
        <v>93</v>
      </c>
      <c r="D20" s="133" t="s">
        <v>93</v>
      </c>
      <c r="E20" s="133" t="s">
        <v>93</v>
      </c>
      <c r="F20" s="134" t="s">
        <v>94</v>
      </c>
      <c r="G20" s="135"/>
    </row>
    <row r="21" ht="14.25" customHeight="1">
      <c r="A21" s="1"/>
      <c r="B21" s="136"/>
      <c r="C21" s="136"/>
      <c r="D21" s="136"/>
      <c r="E21" s="136"/>
      <c r="F21" s="136"/>
      <c r="G21" s="137"/>
    </row>
    <row r="22" ht="14.25" customHeight="1">
      <c r="A22" s="1"/>
      <c r="B22" s="1"/>
      <c r="C22" s="1"/>
      <c r="D22" s="1"/>
      <c r="E22" s="1"/>
      <c r="F22" s="1"/>
      <c r="G22" s="138"/>
    </row>
    <row r="23" ht="14.25" customHeight="1">
      <c r="A23" s="24"/>
      <c r="B23" s="23" t="s">
        <v>95</v>
      </c>
      <c r="C23" s="23" t="s">
        <v>35</v>
      </c>
      <c r="D23" s="23" t="s">
        <v>96</v>
      </c>
      <c r="E23" s="23" t="s">
        <v>35</v>
      </c>
      <c r="F23" s="1"/>
      <c r="G23" s="138"/>
    </row>
    <row r="24" ht="14.25" customHeight="1">
      <c r="A24" s="24">
        <v>1.0</v>
      </c>
      <c r="B24" s="133"/>
      <c r="C24" s="48" t="str">
        <f t="shared" ref="C24:C55" si="1">IF(B24="","",IF(B24&lt;=$D$20,IF(B24&gt;=$C$20,"Aprovado","Reprovado"),"Reprovado"))</f>
        <v/>
      </c>
      <c r="D24" s="133"/>
      <c r="E24" s="48" t="str">
        <f t="shared" ref="E24:E57" si="2">IF(D24="","",IF(D24&gt;=$E$20,"Aprovado","Reprovado"))</f>
        <v/>
      </c>
      <c r="F24" s="1"/>
      <c r="G24" s="137"/>
    </row>
    <row r="25" ht="14.25" customHeight="1">
      <c r="A25" s="24">
        <v>2.0</v>
      </c>
      <c r="B25" s="133"/>
      <c r="C25" s="48" t="str">
        <f t="shared" si="1"/>
        <v/>
      </c>
      <c r="D25" s="133"/>
      <c r="E25" s="48" t="str">
        <f t="shared" si="2"/>
        <v/>
      </c>
      <c r="F25" s="1"/>
    </row>
    <row r="26" ht="14.25" customHeight="1">
      <c r="A26" s="24">
        <v>3.0</v>
      </c>
      <c r="B26" s="133"/>
      <c r="C26" s="48" t="str">
        <f t="shared" si="1"/>
        <v/>
      </c>
      <c r="D26" s="133"/>
      <c r="E26" s="48" t="str">
        <f t="shared" si="2"/>
        <v/>
      </c>
      <c r="F26" s="1"/>
    </row>
    <row r="27" ht="14.25" customHeight="1">
      <c r="A27" s="24">
        <v>4.0</v>
      </c>
      <c r="B27" s="133"/>
      <c r="C27" s="48" t="str">
        <f t="shared" si="1"/>
        <v/>
      </c>
      <c r="D27" s="133"/>
      <c r="E27" s="48" t="str">
        <f t="shared" si="2"/>
        <v/>
      </c>
      <c r="F27" s="1"/>
    </row>
    <row r="28" ht="14.25" customHeight="1">
      <c r="A28" s="24">
        <v>5.0</v>
      </c>
      <c r="B28" s="133"/>
      <c r="C28" s="48" t="str">
        <f t="shared" si="1"/>
        <v/>
      </c>
      <c r="D28" s="133"/>
      <c r="E28" s="48" t="str">
        <f t="shared" si="2"/>
        <v/>
      </c>
      <c r="F28" s="1"/>
    </row>
    <row r="29" ht="14.25" customHeight="1">
      <c r="A29" s="24">
        <v>6.0</v>
      </c>
      <c r="B29" s="133"/>
      <c r="C29" s="48" t="str">
        <f t="shared" si="1"/>
        <v/>
      </c>
      <c r="D29" s="133"/>
      <c r="E29" s="48" t="str">
        <f t="shared" si="2"/>
        <v/>
      </c>
      <c r="F29" s="1"/>
    </row>
    <row r="30" ht="14.25" customHeight="1">
      <c r="A30" s="24">
        <v>7.0</v>
      </c>
      <c r="B30" s="133"/>
      <c r="C30" s="48" t="str">
        <f t="shared" si="1"/>
        <v/>
      </c>
      <c r="D30" s="133"/>
      <c r="E30" s="48" t="str">
        <f t="shared" si="2"/>
        <v/>
      </c>
      <c r="F30" s="1"/>
    </row>
    <row r="31" ht="14.25" customHeight="1">
      <c r="A31" s="24">
        <v>8.0</v>
      </c>
      <c r="B31" s="133"/>
      <c r="C31" s="48" t="str">
        <f t="shared" si="1"/>
        <v/>
      </c>
      <c r="D31" s="133"/>
      <c r="E31" s="48" t="str">
        <f t="shared" si="2"/>
        <v/>
      </c>
      <c r="F31" s="1"/>
    </row>
    <row r="32" ht="14.25" customHeight="1">
      <c r="A32" s="24">
        <v>9.0</v>
      </c>
      <c r="B32" s="133"/>
      <c r="C32" s="48" t="str">
        <f t="shared" si="1"/>
        <v/>
      </c>
      <c r="D32" s="133"/>
      <c r="E32" s="48" t="str">
        <f t="shared" si="2"/>
        <v/>
      </c>
      <c r="F32" s="1"/>
    </row>
    <row r="33" ht="14.25" customHeight="1">
      <c r="A33" s="24">
        <v>10.0</v>
      </c>
      <c r="B33" s="133"/>
      <c r="C33" s="48" t="str">
        <f t="shared" si="1"/>
        <v/>
      </c>
      <c r="D33" s="133"/>
      <c r="E33" s="48" t="str">
        <f t="shared" si="2"/>
        <v/>
      </c>
      <c r="F33" s="1"/>
    </row>
    <row r="34" ht="14.25" customHeight="1">
      <c r="A34" s="24">
        <v>11.0</v>
      </c>
      <c r="B34" s="133"/>
      <c r="C34" s="48" t="str">
        <f t="shared" si="1"/>
        <v/>
      </c>
      <c r="D34" s="133"/>
      <c r="E34" s="48" t="str">
        <f t="shared" si="2"/>
        <v/>
      </c>
      <c r="F34" s="1"/>
    </row>
    <row r="35" ht="14.25" customHeight="1">
      <c r="A35" s="24">
        <v>12.0</v>
      </c>
      <c r="B35" s="133"/>
      <c r="C35" s="48" t="str">
        <f t="shared" si="1"/>
        <v/>
      </c>
      <c r="D35" s="133"/>
      <c r="E35" s="48" t="str">
        <f t="shared" si="2"/>
        <v/>
      </c>
      <c r="F35" s="1"/>
    </row>
    <row r="36" ht="14.25" customHeight="1">
      <c r="A36" s="24">
        <v>13.0</v>
      </c>
      <c r="B36" s="133"/>
      <c r="C36" s="48" t="str">
        <f t="shared" si="1"/>
        <v/>
      </c>
      <c r="D36" s="133"/>
      <c r="E36" s="48" t="str">
        <f t="shared" si="2"/>
        <v/>
      </c>
      <c r="F36" s="1"/>
    </row>
    <row r="37" ht="14.25" customHeight="1">
      <c r="A37" s="24">
        <v>14.0</v>
      </c>
      <c r="B37" s="133"/>
      <c r="C37" s="48" t="str">
        <f t="shared" si="1"/>
        <v/>
      </c>
      <c r="D37" s="133"/>
      <c r="E37" s="48" t="str">
        <f t="shared" si="2"/>
        <v/>
      </c>
      <c r="F37" s="1"/>
    </row>
    <row r="38" ht="14.25" customHeight="1">
      <c r="A38" s="24">
        <v>15.0</v>
      </c>
      <c r="B38" s="133"/>
      <c r="C38" s="48" t="str">
        <f t="shared" si="1"/>
        <v/>
      </c>
      <c r="D38" s="133"/>
      <c r="E38" s="48" t="str">
        <f t="shared" si="2"/>
        <v/>
      </c>
      <c r="F38" s="1"/>
    </row>
    <row r="39" ht="14.25" customHeight="1">
      <c r="A39" s="24">
        <v>16.0</v>
      </c>
      <c r="B39" s="133"/>
      <c r="C39" s="48" t="str">
        <f t="shared" si="1"/>
        <v/>
      </c>
      <c r="D39" s="133"/>
      <c r="E39" s="48" t="str">
        <f t="shared" si="2"/>
        <v/>
      </c>
      <c r="F39" s="1"/>
    </row>
    <row r="40" ht="14.25" customHeight="1">
      <c r="A40" s="24">
        <v>17.0</v>
      </c>
      <c r="B40" s="133"/>
      <c r="C40" s="48" t="str">
        <f t="shared" si="1"/>
        <v/>
      </c>
      <c r="D40" s="133"/>
      <c r="E40" s="48" t="str">
        <f t="shared" si="2"/>
        <v/>
      </c>
      <c r="F40" s="1"/>
    </row>
    <row r="41" ht="14.25" customHeight="1">
      <c r="A41" s="24">
        <v>18.0</v>
      </c>
      <c r="B41" s="133"/>
      <c r="C41" s="48" t="str">
        <f t="shared" si="1"/>
        <v/>
      </c>
      <c r="D41" s="133"/>
      <c r="E41" s="48" t="str">
        <f t="shared" si="2"/>
        <v/>
      </c>
      <c r="F41" s="1"/>
    </row>
    <row r="42" ht="14.25" customHeight="1">
      <c r="A42" s="24">
        <v>19.0</v>
      </c>
      <c r="B42" s="133"/>
      <c r="C42" s="48" t="str">
        <f t="shared" si="1"/>
        <v/>
      </c>
      <c r="D42" s="133"/>
      <c r="E42" s="48" t="str">
        <f t="shared" si="2"/>
        <v/>
      </c>
      <c r="F42" s="1"/>
    </row>
    <row r="43" ht="14.25" customHeight="1">
      <c r="A43" s="24">
        <v>20.0</v>
      </c>
      <c r="B43" s="133"/>
      <c r="C43" s="48" t="str">
        <f t="shared" si="1"/>
        <v/>
      </c>
      <c r="D43" s="133"/>
      <c r="E43" s="48" t="str">
        <f t="shared" si="2"/>
        <v/>
      </c>
      <c r="F43" s="1"/>
    </row>
    <row r="44" ht="14.25" customHeight="1">
      <c r="A44" s="24">
        <v>21.0</v>
      </c>
      <c r="B44" s="133"/>
      <c r="C44" s="48" t="str">
        <f t="shared" si="1"/>
        <v/>
      </c>
      <c r="D44" s="133"/>
      <c r="E44" s="48" t="str">
        <f t="shared" si="2"/>
        <v/>
      </c>
      <c r="F44" s="1"/>
    </row>
    <row r="45" ht="14.25" customHeight="1">
      <c r="A45" s="24">
        <v>22.0</v>
      </c>
      <c r="B45" s="133"/>
      <c r="C45" s="48" t="str">
        <f t="shared" si="1"/>
        <v/>
      </c>
      <c r="D45" s="133"/>
      <c r="E45" s="48" t="str">
        <f t="shared" si="2"/>
        <v/>
      </c>
      <c r="F45" s="1"/>
    </row>
    <row r="46" ht="14.25" customHeight="1">
      <c r="A46" s="24">
        <v>23.0</v>
      </c>
      <c r="B46" s="133"/>
      <c r="C46" s="48" t="str">
        <f t="shared" si="1"/>
        <v/>
      </c>
      <c r="D46" s="133"/>
      <c r="E46" s="48" t="str">
        <f t="shared" si="2"/>
        <v/>
      </c>
      <c r="F46" s="1"/>
    </row>
    <row r="47" ht="14.25" customHeight="1">
      <c r="A47" s="24">
        <v>24.0</v>
      </c>
      <c r="B47" s="133"/>
      <c r="C47" s="48" t="str">
        <f t="shared" si="1"/>
        <v/>
      </c>
      <c r="D47" s="133"/>
      <c r="E47" s="48" t="str">
        <f t="shared" si="2"/>
        <v/>
      </c>
      <c r="F47" s="1"/>
    </row>
    <row r="48" ht="14.25" customHeight="1">
      <c r="A48" s="24">
        <v>25.0</v>
      </c>
      <c r="B48" s="133"/>
      <c r="C48" s="48" t="str">
        <f t="shared" si="1"/>
        <v/>
      </c>
      <c r="D48" s="133"/>
      <c r="E48" s="48" t="str">
        <f t="shared" si="2"/>
        <v/>
      </c>
      <c r="F48" s="1"/>
    </row>
    <row r="49" ht="14.25" customHeight="1">
      <c r="A49" s="24">
        <v>26.0</v>
      </c>
      <c r="B49" s="133"/>
      <c r="C49" s="48" t="str">
        <f t="shared" si="1"/>
        <v/>
      </c>
      <c r="D49" s="133"/>
      <c r="E49" s="48" t="str">
        <f t="shared" si="2"/>
        <v/>
      </c>
      <c r="F49" s="1"/>
    </row>
    <row r="50" ht="14.25" customHeight="1">
      <c r="A50" s="24">
        <v>27.0</v>
      </c>
      <c r="B50" s="133"/>
      <c r="C50" s="48" t="str">
        <f t="shared" si="1"/>
        <v/>
      </c>
      <c r="D50" s="133"/>
      <c r="E50" s="48" t="str">
        <f t="shared" si="2"/>
        <v/>
      </c>
      <c r="F50" s="1"/>
    </row>
    <row r="51" ht="14.25" customHeight="1">
      <c r="A51" s="24">
        <v>28.0</v>
      </c>
      <c r="B51" s="133"/>
      <c r="C51" s="48" t="str">
        <f t="shared" si="1"/>
        <v/>
      </c>
      <c r="D51" s="133"/>
      <c r="E51" s="48" t="str">
        <f t="shared" si="2"/>
        <v/>
      </c>
      <c r="F51" s="1"/>
    </row>
    <row r="52" ht="14.25" customHeight="1">
      <c r="A52" s="24">
        <v>29.0</v>
      </c>
      <c r="B52" s="133"/>
      <c r="C52" s="48" t="str">
        <f t="shared" si="1"/>
        <v/>
      </c>
      <c r="D52" s="133"/>
      <c r="E52" s="48" t="str">
        <f t="shared" si="2"/>
        <v/>
      </c>
      <c r="F52" s="1"/>
    </row>
    <row r="53" ht="14.25" customHeight="1">
      <c r="A53" s="24">
        <v>30.0</v>
      </c>
      <c r="B53" s="133"/>
      <c r="C53" s="48" t="str">
        <f t="shared" si="1"/>
        <v/>
      </c>
      <c r="D53" s="133"/>
      <c r="E53" s="48" t="str">
        <f t="shared" si="2"/>
        <v/>
      </c>
      <c r="F53" s="1"/>
    </row>
    <row r="54" ht="14.25" customHeight="1">
      <c r="A54" s="24">
        <v>31.0</v>
      </c>
      <c r="B54" s="133"/>
      <c r="C54" s="48" t="str">
        <f t="shared" si="1"/>
        <v/>
      </c>
      <c r="D54" s="133"/>
      <c r="E54" s="48" t="str">
        <f t="shared" si="2"/>
        <v/>
      </c>
      <c r="F54" s="1"/>
    </row>
    <row r="55" ht="14.25" customHeight="1">
      <c r="A55" s="24">
        <v>32.0</v>
      </c>
      <c r="B55" s="133"/>
      <c r="C55" s="48" t="str">
        <f t="shared" si="1"/>
        <v/>
      </c>
      <c r="D55" s="133"/>
      <c r="E55" s="48" t="str">
        <f t="shared" si="2"/>
        <v/>
      </c>
      <c r="F55" s="1"/>
    </row>
    <row r="56" ht="12.75" customHeight="1">
      <c r="A56" s="1"/>
      <c r="B56" s="1"/>
      <c r="C56" s="1"/>
      <c r="D56" s="1"/>
      <c r="E56" s="139" t="str">
        <f t="shared" si="2"/>
        <v/>
      </c>
      <c r="F56" s="1"/>
    </row>
    <row r="57" ht="6.0" hidden="1" customHeight="1">
      <c r="A57" s="1"/>
      <c r="B57" s="1"/>
      <c r="C57" s="1"/>
      <c r="D57" s="1"/>
      <c r="E57" s="140" t="str">
        <f t="shared" si="2"/>
        <v/>
      </c>
      <c r="F57" s="1"/>
    </row>
    <row r="58" ht="14.25" customHeight="1">
      <c r="A58" s="1"/>
      <c r="B58" s="141" t="s">
        <v>20</v>
      </c>
      <c r="C58" s="55"/>
      <c r="D58" s="55"/>
      <c r="E58" s="55"/>
      <c r="F58" s="1"/>
    </row>
    <row r="59" ht="14.25" customHeight="1"/>
    <row r="60" ht="14.25" customHeight="1"/>
    <row r="61" ht="14.25" customHeight="1">
      <c r="B61" s="24" t="s">
        <v>97</v>
      </c>
    </row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>
      <c r="B73" s="98"/>
    </row>
    <row r="74" ht="14.25" customHeight="1"/>
    <row r="75" ht="14.25" customHeight="1"/>
    <row r="76" ht="14.25" hidden="1" customHeight="1"/>
    <row r="77" ht="14.25" hidden="1" customHeight="1"/>
    <row r="78" ht="14.25" hidden="1" customHeight="1"/>
    <row r="79" ht="14.25" hidden="1" customHeight="1"/>
    <row r="80" ht="14.25" hidden="1" customHeight="1"/>
    <row r="81" ht="14.25" hidden="1" customHeight="1"/>
    <row r="82" ht="14.25" hidden="1" customHeight="1"/>
    <row r="83" ht="14.25" hidden="1" customHeight="1"/>
    <row r="84" ht="14.25" hidden="1" customHeight="1"/>
    <row r="85" ht="14.25" hidden="1" customHeight="1"/>
    <row r="86" ht="14.25" hidden="1" customHeight="1"/>
    <row r="87" ht="14.25" hidden="1" customHeight="1"/>
    <row r="88" ht="14.25" hidden="1" customHeight="1"/>
    <row r="89" ht="14.25" hidden="1" customHeight="1"/>
    <row r="90" ht="14.25" hidden="1" customHeight="1"/>
    <row r="91" ht="14.25" hidden="1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G20:H20"/>
    <mergeCell ref="G21:H21"/>
    <mergeCell ref="G22:H22"/>
    <mergeCell ref="G23:H23"/>
    <mergeCell ref="G24:H24"/>
    <mergeCell ref="B58:E58"/>
    <mergeCell ref="B2:B4"/>
    <mergeCell ref="C2:F4"/>
    <mergeCell ref="B12:F12"/>
    <mergeCell ref="C14:F14"/>
    <mergeCell ref="G14:H19"/>
    <mergeCell ref="D15:E15"/>
    <mergeCell ref="E18:F18"/>
  </mergeCells>
  <printOptions/>
  <pageMargins bottom="0.75" footer="0.0" header="0.0" left="0.25" right="0.25" top="0.75"/>
  <pageSetup paperSize="9" orientation="portrait"/>
  <headerFooter>
    <oddFooter>&amp;LAnexo 2 - MS- 0028921 Rev.03 - Dimensões - (Diâmetro Externo e Interno)&amp;RPágina &amp;P de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5.71"/>
    <col customWidth="1" min="2" max="2" width="30.57"/>
    <col customWidth="1" min="3" max="3" width="29.71"/>
    <col customWidth="1" min="4" max="4" width="32.57"/>
    <col customWidth="1" min="5" max="5" width="29.29"/>
    <col customWidth="1" min="6" max="6" width="23.29"/>
    <col customWidth="1" min="7" max="26" width="8.71"/>
  </cols>
  <sheetData>
    <row r="1" ht="14.25" customHeight="1"/>
    <row r="2" ht="17.25" customHeight="1">
      <c r="A2" s="1"/>
      <c r="B2" s="2"/>
      <c r="C2" s="142" t="s">
        <v>98</v>
      </c>
      <c r="D2" s="4"/>
      <c r="E2" s="1"/>
      <c r="F2" s="1"/>
      <c r="G2" s="1"/>
      <c r="H2" s="1"/>
    </row>
    <row r="3" ht="15.75" customHeight="1">
      <c r="A3" s="1"/>
      <c r="B3" s="5"/>
      <c r="C3" s="6"/>
      <c r="D3" s="7"/>
      <c r="E3" s="1"/>
      <c r="F3" s="1"/>
      <c r="G3" s="1"/>
      <c r="H3" s="1"/>
    </row>
    <row r="4" ht="21.0" customHeight="1">
      <c r="A4" s="1"/>
      <c r="B4" s="8"/>
      <c r="C4" s="9"/>
      <c r="D4" s="10"/>
      <c r="E4" s="1"/>
      <c r="F4" s="1"/>
      <c r="G4" s="1"/>
      <c r="H4" s="1"/>
    </row>
    <row r="5" ht="14.25" customHeight="1">
      <c r="A5" s="1"/>
      <c r="B5" s="11" t="s">
        <v>1</v>
      </c>
      <c r="C5" s="12"/>
      <c r="D5" s="13"/>
      <c r="E5" s="1"/>
      <c r="F5" s="1"/>
      <c r="G5" s="1"/>
      <c r="H5" s="1"/>
    </row>
    <row r="6" ht="14.25" customHeight="1">
      <c r="A6" s="1"/>
      <c r="B6" s="11" t="s">
        <v>2</v>
      </c>
      <c r="C6" s="14"/>
      <c r="D6" s="13"/>
      <c r="E6" s="1"/>
      <c r="F6" s="143"/>
      <c r="H6" s="1"/>
    </row>
    <row r="7" ht="14.25" customHeight="1">
      <c r="A7" s="1"/>
      <c r="B7" s="11" t="s">
        <v>3</v>
      </c>
      <c r="C7" s="14" t="s">
        <v>99</v>
      </c>
      <c r="D7" s="13"/>
      <c r="E7" s="1"/>
      <c r="H7" s="1"/>
    </row>
    <row r="8" ht="14.25" customHeight="1">
      <c r="A8" s="1"/>
      <c r="B8" s="11" t="s">
        <v>5</v>
      </c>
      <c r="C8" s="14"/>
      <c r="D8" s="13"/>
      <c r="E8" s="1"/>
      <c r="H8" s="1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3"/>
      <c r="E9" s="1"/>
      <c r="H9" s="1"/>
    </row>
    <row r="10" ht="26.25" customHeight="1">
      <c r="A10" s="1"/>
      <c r="B10" s="15" t="s">
        <v>8</v>
      </c>
      <c r="C10" s="16"/>
      <c r="D10" s="13"/>
      <c r="E10" s="1"/>
      <c r="H10" s="1"/>
    </row>
    <row r="11" ht="14.25" customHeight="1">
      <c r="A11" s="1"/>
      <c r="B11" s="11" t="s">
        <v>9</v>
      </c>
      <c r="C11" s="57"/>
      <c r="D11" s="13"/>
      <c r="E11" s="1"/>
      <c r="F11" s="144"/>
      <c r="H11" s="1"/>
    </row>
    <row r="12" ht="14.25" customHeight="1">
      <c r="A12" s="1"/>
      <c r="B12" s="17" t="s">
        <v>10</v>
      </c>
      <c r="C12" s="18"/>
      <c r="D12" s="13"/>
      <c r="E12" s="1"/>
      <c r="F12" s="144"/>
      <c r="H12" s="1"/>
    </row>
    <row r="13" ht="24.75" customHeight="1">
      <c r="A13" s="1"/>
      <c r="B13" s="15" t="s">
        <v>11</v>
      </c>
      <c r="C13" s="109" t="s">
        <v>100</v>
      </c>
      <c r="D13" s="13"/>
      <c r="E13" s="1"/>
      <c r="F13" s="65"/>
      <c r="H13" s="1"/>
    </row>
    <row r="14" ht="14.25" customHeight="1">
      <c r="A14" s="1"/>
      <c r="B14" s="11" t="s">
        <v>13</v>
      </c>
      <c r="C14" s="20"/>
      <c r="D14" s="13"/>
      <c r="E14" s="1"/>
      <c r="F14" s="65"/>
      <c r="H14" s="1"/>
    </row>
    <row r="15" ht="14.25" customHeight="1">
      <c r="A15" s="1"/>
      <c r="B15" s="11" t="s">
        <v>14</v>
      </c>
      <c r="C15" s="21" t="s">
        <v>15</v>
      </c>
      <c r="D15" s="11" t="s">
        <v>16</v>
      </c>
      <c r="E15" s="1"/>
      <c r="F15" s="144"/>
      <c r="H15" s="1"/>
    </row>
    <row r="16" ht="14.25" customHeight="1">
      <c r="A16" s="1"/>
      <c r="B16" s="22"/>
      <c r="C16" s="1"/>
      <c r="D16" s="1"/>
      <c r="E16" s="1"/>
      <c r="F16" s="1"/>
      <c r="G16" s="1"/>
      <c r="H16" s="1"/>
    </row>
    <row r="17" ht="14.25" customHeight="1">
      <c r="A17" s="1"/>
      <c r="B17" s="145" t="s">
        <v>101</v>
      </c>
      <c r="C17" s="145" t="s">
        <v>102</v>
      </c>
      <c r="D17" s="145" t="s">
        <v>103</v>
      </c>
      <c r="E17" s="145" t="s">
        <v>104</v>
      </c>
      <c r="F17" s="145" t="s">
        <v>105</v>
      </c>
      <c r="G17" s="1"/>
      <c r="H17" s="1"/>
    </row>
    <row r="18" ht="14.25" customHeight="1">
      <c r="A18" s="1"/>
      <c r="B18" s="146"/>
      <c r="C18" s="147" t="s">
        <v>94</v>
      </c>
      <c r="D18" s="146"/>
      <c r="E18" s="71"/>
      <c r="F18" s="71"/>
      <c r="G18" s="1"/>
      <c r="H18" s="1"/>
    </row>
    <row r="19" ht="14.25" customHeight="1">
      <c r="A19" s="1"/>
      <c r="B19" s="1"/>
      <c r="C19" s="1"/>
      <c r="D19" s="1"/>
      <c r="E19" s="1"/>
      <c r="F19" s="1"/>
      <c r="G19" s="1"/>
      <c r="H19" s="1"/>
    </row>
    <row r="20" ht="14.25" customHeight="1">
      <c r="A20" s="1"/>
      <c r="B20" s="23" t="s">
        <v>106</v>
      </c>
      <c r="C20" s="23" t="s">
        <v>107</v>
      </c>
      <c r="D20" s="23" t="s">
        <v>108</v>
      </c>
      <c r="E20" s="23" t="s">
        <v>109</v>
      </c>
      <c r="F20" s="23" t="s">
        <v>35</v>
      </c>
      <c r="G20" s="1"/>
      <c r="H20" s="1"/>
    </row>
    <row r="21" ht="14.25" customHeight="1">
      <c r="A21" s="24">
        <v>1.0</v>
      </c>
      <c r="B21" s="72" t="str">
        <f>E18</f>
        <v/>
      </c>
      <c r="C21" s="71"/>
      <c r="D21" s="71"/>
      <c r="E21" s="47"/>
      <c r="F21" s="48" t="str">
        <f t="shared" ref="F21:F52" si="1">IF(E21="","",IF(E21&lt;=$F$18,"Aprovado","Reprovado"))</f>
        <v/>
      </c>
      <c r="G21" s="1"/>
      <c r="H21" s="1"/>
    </row>
    <row r="22" ht="14.25" customHeight="1">
      <c r="A22" s="24">
        <v>2.0</v>
      </c>
      <c r="B22" s="72" t="str">
        <f>E18</f>
        <v/>
      </c>
      <c r="C22" s="47"/>
      <c r="D22" s="71"/>
      <c r="E22" s="71"/>
      <c r="F22" s="48" t="str">
        <f t="shared" si="1"/>
        <v/>
      </c>
      <c r="G22" s="1"/>
      <c r="H22" s="1"/>
    </row>
    <row r="23" ht="14.25" customHeight="1">
      <c r="A23" s="24">
        <v>3.0</v>
      </c>
      <c r="B23" s="72" t="str">
        <f>E18</f>
        <v/>
      </c>
      <c r="C23" s="47"/>
      <c r="D23" s="71"/>
      <c r="E23" s="71"/>
      <c r="F23" s="48" t="str">
        <f t="shared" si="1"/>
        <v/>
      </c>
      <c r="G23" s="1"/>
      <c r="H23" s="1"/>
    </row>
    <row r="24" ht="14.25" customHeight="1">
      <c r="A24" s="24">
        <v>4.0</v>
      </c>
      <c r="B24" s="72" t="str">
        <f>E18</f>
        <v/>
      </c>
      <c r="C24" s="71"/>
      <c r="D24" s="71"/>
      <c r="E24" s="47"/>
      <c r="F24" s="48" t="str">
        <f t="shared" si="1"/>
        <v/>
      </c>
      <c r="G24" s="1"/>
      <c r="H24" s="1"/>
    </row>
    <row r="25" ht="14.25" customHeight="1">
      <c r="A25" s="24">
        <v>5.0</v>
      </c>
      <c r="B25" s="72" t="str">
        <f>E18</f>
        <v/>
      </c>
      <c r="C25" s="71"/>
      <c r="D25" s="71"/>
      <c r="E25" s="47"/>
      <c r="F25" s="48" t="str">
        <f t="shared" si="1"/>
        <v/>
      </c>
      <c r="G25" s="1"/>
      <c r="H25" s="1"/>
    </row>
    <row r="26" ht="14.25" customHeight="1">
      <c r="A26" s="24">
        <v>6.0</v>
      </c>
      <c r="B26" s="72" t="str">
        <f>E18</f>
        <v/>
      </c>
      <c r="C26" s="47"/>
      <c r="D26" s="71"/>
      <c r="E26" s="47"/>
      <c r="F26" s="48" t="str">
        <f t="shared" si="1"/>
        <v/>
      </c>
      <c r="G26" s="1"/>
      <c r="H26" s="1"/>
    </row>
    <row r="27" ht="14.25" customHeight="1">
      <c r="A27" s="24">
        <v>7.0</v>
      </c>
      <c r="B27" s="72" t="str">
        <f>E18</f>
        <v/>
      </c>
      <c r="C27" s="71"/>
      <c r="D27" s="71"/>
      <c r="E27" s="71"/>
      <c r="F27" s="48" t="str">
        <f t="shared" si="1"/>
        <v/>
      </c>
      <c r="G27" s="1"/>
      <c r="H27" s="1"/>
    </row>
    <row r="28" ht="14.25" customHeight="1">
      <c r="A28" s="24">
        <v>8.0</v>
      </c>
      <c r="B28" s="72" t="str">
        <f>E18</f>
        <v/>
      </c>
      <c r="C28" s="47"/>
      <c r="D28" s="71"/>
      <c r="E28" s="71"/>
      <c r="F28" s="48" t="str">
        <f t="shared" si="1"/>
        <v/>
      </c>
      <c r="G28" s="1"/>
      <c r="H28" s="1"/>
    </row>
    <row r="29" ht="14.25" customHeight="1">
      <c r="A29" s="24">
        <v>9.0</v>
      </c>
      <c r="B29" s="72" t="str">
        <f>E18</f>
        <v/>
      </c>
      <c r="C29" s="47"/>
      <c r="D29" s="71"/>
      <c r="E29" s="71"/>
      <c r="F29" s="48" t="str">
        <f t="shared" si="1"/>
        <v/>
      </c>
      <c r="G29" s="1"/>
      <c r="H29" s="1"/>
    </row>
    <row r="30" ht="14.25" customHeight="1">
      <c r="A30" s="24">
        <v>10.0</v>
      </c>
      <c r="B30" s="72" t="str">
        <f>E18</f>
        <v/>
      </c>
      <c r="C30" s="71"/>
      <c r="D30" s="71"/>
      <c r="E30" s="47"/>
      <c r="F30" s="48" t="str">
        <f t="shared" si="1"/>
        <v/>
      </c>
      <c r="G30" s="1"/>
      <c r="H30" s="1"/>
    </row>
    <row r="31" ht="14.25" customHeight="1">
      <c r="A31" s="24">
        <v>11.0</v>
      </c>
      <c r="B31" s="72" t="str">
        <f>E18</f>
        <v/>
      </c>
      <c r="C31" s="47"/>
      <c r="D31" s="71"/>
      <c r="E31" s="47"/>
      <c r="F31" s="48" t="str">
        <f t="shared" si="1"/>
        <v/>
      </c>
      <c r="G31" s="1"/>
      <c r="H31" s="1"/>
    </row>
    <row r="32" ht="14.25" customHeight="1">
      <c r="A32" s="24">
        <v>12.0</v>
      </c>
      <c r="B32" s="72" t="str">
        <f>E18</f>
        <v/>
      </c>
      <c r="C32" s="47"/>
      <c r="D32" s="71"/>
      <c r="E32" s="71"/>
      <c r="F32" s="48" t="str">
        <f t="shared" si="1"/>
        <v/>
      </c>
      <c r="G32" s="1"/>
      <c r="H32" s="1"/>
    </row>
    <row r="33" ht="14.25" customHeight="1">
      <c r="A33" s="24">
        <v>13.0</v>
      </c>
      <c r="B33" s="72" t="str">
        <f>E18</f>
        <v/>
      </c>
      <c r="C33" s="47"/>
      <c r="D33" s="71"/>
      <c r="E33" s="47"/>
      <c r="F33" s="48" t="str">
        <f t="shared" si="1"/>
        <v/>
      </c>
      <c r="G33" s="1"/>
      <c r="H33" s="1"/>
    </row>
    <row r="34" ht="14.25" customHeight="1">
      <c r="A34" s="24">
        <v>14.0</v>
      </c>
      <c r="B34" s="72" t="str">
        <f>E18</f>
        <v/>
      </c>
      <c r="C34" s="47"/>
      <c r="D34" s="71"/>
      <c r="E34" s="71"/>
      <c r="F34" s="48" t="str">
        <f t="shared" si="1"/>
        <v/>
      </c>
      <c r="G34" s="1"/>
      <c r="H34" s="1"/>
    </row>
    <row r="35" ht="14.25" customHeight="1">
      <c r="A35" s="24">
        <v>15.0</v>
      </c>
      <c r="B35" s="72" t="str">
        <f>E18</f>
        <v/>
      </c>
      <c r="C35" s="47"/>
      <c r="D35" s="71"/>
      <c r="E35" s="71"/>
      <c r="F35" s="48" t="str">
        <f t="shared" si="1"/>
        <v/>
      </c>
      <c r="G35" s="1"/>
      <c r="H35" s="1"/>
    </row>
    <row r="36" ht="14.25" customHeight="1">
      <c r="A36" s="24">
        <v>16.0</v>
      </c>
      <c r="B36" s="72" t="str">
        <f>E18</f>
        <v/>
      </c>
      <c r="C36" s="71"/>
      <c r="D36" s="71"/>
      <c r="E36" s="47"/>
      <c r="F36" s="48" t="str">
        <f t="shared" si="1"/>
        <v/>
      </c>
      <c r="G36" s="1"/>
      <c r="H36" s="1"/>
    </row>
    <row r="37" ht="14.25" customHeight="1">
      <c r="A37" s="24">
        <v>17.0</v>
      </c>
      <c r="B37" s="72" t="str">
        <f>E18</f>
        <v/>
      </c>
      <c r="C37" s="47"/>
      <c r="D37" s="71"/>
      <c r="E37" s="71"/>
      <c r="F37" s="48" t="str">
        <f t="shared" si="1"/>
        <v/>
      </c>
      <c r="G37" s="1"/>
      <c r="H37" s="1"/>
    </row>
    <row r="38" ht="14.25" customHeight="1">
      <c r="A38" s="24">
        <v>18.0</v>
      </c>
      <c r="B38" s="72" t="str">
        <f>E18</f>
        <v/>
      </c>
      <c r="C38" s="47"/>
      <c r="D38" s="71"/>
      <c r="E38" s="71"/>
      <c r="F38" s="48" t="str">
        <f t="shared" si="1"/>
        <v/>
      </c>
      <c r="G38" s="1"/>
      <c r="H38" s="1"/>
    </row>
    <row r="39" ht="14.25" customHeight="1">
      <c r="A39" s="24">
        <v>19.0</v>
      </c>
      <c r="B39" s="72" t="str">
        <f>E18</f>
        <v/>
      </c>
      <c r="C39" s="71"/>
      <c r="D39" s="71"/>
      <c r="E39" s="71"/>
      <c r="F39" s="48" t="str">
        <f t="shared" si="1"/>
        <v/>
      </c>
      <c r="G39" s="1"/>
      <c r="H39" s="1"/>
    </row>
    <row r="40" ht="14.25" customHeight="1">
      <c r="A40" s="24">
        <v>20.0</v>
      </c>
      <c r="B40" s="72" t="str">
        <f>E18</f>
        <v/>
      </c>
      <c r="C40" s="47"/>
      <c r="D40" s="71"/>
      <c r="E40" s="47"/>
      <c r="F40" s="48" t="str">
        <f t="shared" si="1"/>
        <v/>
      </c>
      <c r="G40" s="1"/>
      <c r="H40" s="1"/>
    </row>
    <row r="41" ht="14.25" customHeight="1">
      <c r="A41" s="24">
        <v>21.0</v>
      </c>
      <c r="B41" s="148" t="str">
        <f>E18</f>
        <v/>
      </c>
      <c r="C41" s="47"/>
      <c r="D41" s="71"/>
      <c r="E41" s="47"/>
      <c r="F41" s="48" t="str">
        <f t="shared" si="1"/>
        <v/>
      </c>
      <c r="G41" s="1"/>
      <c r="H41" s="1"/>
    </row>
    <row r="42" ht="14.25" customHeight="1">
      <c r="A42" s="24">
        <v>22.0</v>
      </c>
      <c r="B42" s="148" t="str">
        <f>E18</f>
        <v/>
      </c>
      <c r="C42" s="47"/>
      <c r="D42" s="71"/>
      <c r="E42" s="47"/>
      <c r="F42" s="48" t="str">
        <f t="shared" si="1"/>
        <v/>
      </c>
      <c r="G42" s="1"/>
      <c r="H42" s="1"/>
    </row>
    <row r="43" ht="14.25" customHeight="1">
      <c r="A43" s="24">
        <v>23.0</v>
      </c>
      <c r="B43" s="148" t="str">
        <f>E18</f>
        <v/>
      </c>
      <c r="C43" s="47"/>
      <c r="D43" s="71"/>
      <c r="E43" s="47"/>
      <c r="F43" s="48" t="str">
        <f t="shared" si="1"/>
        <v/>
      </c>
      <c r="G43" s="1"/>
      <c r="H43" s="1"/>
    </row>
    <row r="44" ht="14.25" customHeight="1">
      <c r="A44" s="24">
        <v>24.0</v>
      </c>
      <c r="B44" s="148" t="str">
        <f>E18</f>
        <v/>
      </c>
      <c r="C44" s="47"/>
      <c r="D44" s="71"/>
      <c r="E44" s="47"/>
      <c r="F44" s="48" t="str">
        <f t="shared" si="1"/>
        <v/>
      </c>
      <c r="G44" s="1"/>
      <c r="H44" s="1"/>
    </row>
    <row r="45" ht="14.25" customHeight="1">
      <c r="A45" s="24">
        <v>25.0</v>
      </c>
      <c r="B45" s="148" t="str">
        <f>E18</f>
        <v/>
      </c>
      <c r="C45" s="47"/>
      <c r="D45" s="71"/>
      <c r="E45" s="47"/>
      <c r="F45" s="48" t="str">
        <f t="shared" si="1"/>
        <v/>
      </c>
      <c r="G45" s="1"/>
      <c r="H45" s="1"/>
    </row>
    <row r="46" ht="14.25" customHeight="1">
      <c r="A46" s="24">
        <v>26.0</v>
      </c>
      <c r="B46" s="148" t="str">
        <f>E18</f>
        <v/>
      </c>
      <c r="C46" s="47"/>
      <c r="D46" s="71"/>
      <c r="E46" s="47"/>
      <c r="F46" s="48" t="str">
        <f t="shared" si="1"/>
        <v/>
      </c>
      <c r="G46" s="1"/>
      <c r="H46" s="1"/>
    </row>
    <row r="47" ht="14.25" customHeight="1">
      <c r="A47" s="24">
        <v>27.0</v>
      </c>
      <c r="B47" s="148" t="str">
        <f>E18</f>
        <v/>
      </c>
      <c r="C47" s="47"/>
      <c r="D47" s="71"/>
      <c r="E47" s="47"/>
      <c r="F47" s="48" t="str">
        <f t="shared" si="1"/>
        <v/>
      </c>
      <c r="G47" s="1"/>
      <c r="H47" s="1"/>
    </row>
    <row r="48" ht="14.25" customHeight="1">
      <c r="A48" s="24">
        <v>28.0</v>
      </c>
      <c r="B48" s="148" t="str">
        <f>E18</f>
        <v/>
      </c>
      <c r="C48" s="47"/>
      <c r="D48" s="71"/>
      <c r="E48" s="47"/>
      <c r="F48" s="48" t="str">
        <f t="shared" si="1"/>
        <v/>
      </c>
      <c r="G48" s="1"/>
      <c r="H48" s="1"/>
    </row>
    <row r="49" ht="14.25" customHeight="1">
      <c r="A49" s="24">
        <v>29.0</v>
      </c>
      <c r="B49" s="148" t="str">
        <f>E18</f>
        <v/>
      </c>
      <c r="C49" s="47"/>
      <c r="D49" s="71"/>
      <c r="E49" s="47"/>
      <c r="F49" s="48" t="str">
        <f t="shared" si="1"/>
        <v/>
      </c>
      <c r="G49" s="1"/>
      <c r="H49" s="1"/>
    </row>
    <row r="50" ht="14.25" customHeight="1">
      <c r="A50" s="24">
        <v>30.0</v>
      </c>
      <c r="B50" s="148" t="str">
        <f>E18</f>
        <v/>
      </c>
      <c r="C50" s="47"/>
      <c r="D50" s="71"/>
      <c r="E50" s="47"/>
      <c r="F50" s="48" t="str">
        <f t="shared" si="1"/>
        <v/>
      </c>
      <c r="G50" s="1"/>
      <c r="H50" s="1"/>
    </row>
    <row r="51" ht="14.25" customHeight="1">
      <c r="A51" s="24">
        <v>31.0</v>
      </c>
      <c r="B51" s="148" t="str">
        <f>E18</f>
        <v/>
      </c>
      <c r="C51" s="47"/>
      <c r="D51" s="71"/>
      <c r="E51" s="47"/>
      <c r="F51" s="48" t="str">
        <f t="shared" si="1"/>
        <v/>
      </c>
      <c r="G51" s="1"/>
      <c r="H51" s="1"/>
    </row>
    <row r="52" ht="14.25" customHeight="1">
      <c r="A52" s="24">
        <v>32.0</v>
      </c>
      <c r="B52" s="148" t="str">
        <f>E18</f>
        <v/>
      </c>
      <c r="C52" s="47"/>
      <c r="D52" s="71"/>
      <c r="E52" s="47"/>
      <c r="F52" s="48" t="str">
        <f t="shared" si="1"/>
        <v/>
      </c>
      <c r="G52" s="1"/>
      <c r="H52" s="1"/>
    </row>
    <row r="53" ht="14.25" customHeight="1">
      <c r="A53" s="24"/>
      <c r="B53" s="44"/>
      <c r="C53" s="1"/>
      <c r="D53" s="44"/>
      <c r="E53" s="1"/>
      <c r="F53" s="139"/>
      <c r="G53" s="1"/>
      <c r="H53" s="1"/>
    </row>
    <row r="54" ht="14.25" customHeight="1">
      <c r="A54" s="1"/>
      <c r="B54" s="141" t="s">
        <v>20</v>
      </c>
      <c r="C54" s="55"/>
      <c r="D54" s="1"/>
      <c r="E54" s="1"/>
      <c r="F54" s="1"/>
      <c r="G54" s="1"/>
      <c r="H54" s="1"/>
    </row>
    <row r="55" ht="14.25" customHeight="1">
      <c r="A55" s="1"/>
      <c r="B55" s="24"/>
      <c r="C55" s="1"/>
      <c r="D55" s="1"/>
      <c r="E55" s="1"/>
      <c r="F55" s="1"/>
      <c r="G55" s="1"/>
      <c r="H55" s="1"/>
    </row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C9:D9"/>
    <mergeCell ref="C10:D10"/>
    <mergeCell ref="C11:D11"/>
    <mergeCell ref="C13:D13"/>
    <mergeCell ref="C14:D14"/>
    <mergeCell ref="B54:C54"/>
    <mergeCell ref="F11:G11"/>
    <mergeCell ref="B12:D12"/>
    <mergeCell ref="F12:G12"/>
    <mergeCell ref="F13:G13"/>
    <mergeCell ref="F14:G14"/>
    <mergeCell ref="F15:G15"/>
    <mergeCell ref="B2:B4"/>
    <mergeCell ref="C2:D4"/>
    <mergeCell ref="C5:D5"/>
    <mergeCell ref="C6:D6"/>
    <mergeCell ref="F6:G10"/>
    <mergeCell ref="C7:D7"/>
    <mergeCell ref="C8:D8"/>
  </mergeCells>
  <printOptions/>
  <pageMargins bottom="0.75" footer="0.0" header="0.0" left="0.25" right="0.25" top="0.396"/>
  <pageSetup paperSize="9" orientation="landscape"/>
  <headerFooter>
    <oddFooter>&amp;LAnexo 2 - MS- 0028921_Rev.04 - Rigidez da cânula.&amp;RPágina &amp;P de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29.57"/>
    <col customWidth="1" min="3" max="3" width="32.29"/>
    <col customWidth="1" min="4" max="4" width="39.29"/>
    <col customWidth="1" min="5" max="26" width="9.14"/>
  </cols>
  <sheetData>
    <row r="1" ht="14.25" customHeight="1">
      <c r="A1" s="1"/>
      <c r="B1" s="1"/>
      <c r="C1" s="1"/>
      <c r="D1" s="1"/>
    </row>
    <row r="2" ht="14.25" customHeight="1">
      <c r="A2" s="1"/>
      <c r="B2" s="2"/>
      <c r="C2" s="149" t="s">
        <v>110</v>
      </c>
      <c r="D2" s="4"/>
    </row>
    <row r="3" ht="14.25" customHeight="1">
      <c r="A3" s="1"/>
      <c r="B3" s="5"/>
      <c r="C3" s="6"/>
      <c r="D3" s="7"/>
    </row>
    <row r="4" ht="14.25" customHeight="1">
      <c r="A4" s="1"/>
      <c r="B4" s="8"/>
      <c r="C4" s="9"/>
      <c r="D4" s="10"/>
    </row>
    <row r="5" ht="14.25" customHeight="1">
      <c r="A5" s="1"/>
      <c r="B5" s="11" t="s">
        <v>1</v>
      </c>
      <c r="C5" s="12"/>
      <c r="D5" s="13"/>
    </row>
    <row r="6" ht="14.25" customHeight="1">
      <c r="A6" s="1"/>
      <c r="B6" s="11" t="s">
        <v>2</v>
      </c>
      <c r="C6" s="14"/>
      <c r="D6" s="13"/>
    </row>
    <row r="7" ht="14.25" customHeight="1">
      <c r="A7" s="1"/>
      <c r="B7" s="11" t="s">
        <v>3</v>
      </c>
      <c r="C7" s="14" t="s">
        <v>111</v>
      </c>
      <c r="D7" s="13"/>
    </row>
    <row r="8" ht="14.25" customHeight="1">
      <c r="A8" s="1"/>
      <c r="B8" s="11" t="s">
        <v>5</v>
      </c>
      <c r="C8" s="14"/>
      <c r="D8" s="13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3"/>
    </row>
    <row r="10" ht="17.25" customHeight="1">
      <c r="A10" s="1"/>
      <c r="B10" s="15" t="s">
        <v>8</v>
      </c>
      <c r="C10" s="16"/>
      <c r="D10" s="13"/>
    </row>
    <row r="11" ht="14.25" customHeight="1">
      <c r="A11" s="1"/>
      <c r="B11" s="11" t="s">
        <v>9</v>
      </c>
      <c r="C11" s="150"/>
      <c r="D11" s="13"/>
    </row>
    <row r="12" ht="14.25" customHeight="1">
      <c r="A12" s="1"/>
      <c r="B12" s="66" t="s">
        <v>10</v>
      </c>
      <c r="C12" s="18"/>
      <c r="D12" s="13"/>
    </row>
    <row r="13" ht="27.0" customHeight="1">
      <c r="A13" s="1"/>
      <c r="B13" s="15" t="s">
        <v>11</v>
      </c>
      <c r="C13" s="109" t="s">
        <v>112</v>
      </c>
      <c r="D13" s="13"/>
    </row>
    <row r="14" ht="14.25" customHeight="1">
      <c r="A14" s="1"/>
      <c r="B14" s="11" t="s">
        <v>13</v>
      </c>
      <c r="C14" s="20"/>
      <c r="D14" s="13"/>
    </row>
    <row r="15" ht="14.25" customHeight="1">
      <c r="A15" s="1"/>
      <c r="B15" s="11" t="s">
        <v>14</v>
      </c>
      <c r="C15" s="11" t="s">
        <v>15</v>
      </c>
      <c r="D15" s="11" t="s">
        <v>16</v>
      </c>
    </row>
    <row r="16" ht="14.25" customHeight="1">
      <c r="A16" s="151"/>
      <c r="B16" s="152"/>
      <c r="C16" s="153"/>
      <c r="D16" s="1"/>
    </row>
    <row r="17" ht="14.25" customHeight="1">
      <c r="A17" s="151"/>
      <c r="B17" s="151"/>
      <c r="C17" s="154"/>
      <c r="D17" s="154"/>
    </row>
    <row r="18" ht="14.25" customHeight="1">
      <c r="A18" s="151"/>
      <c r="B18" s="23" t="s">
        <v>113</v>
      </c>
      <c r="C18" s="23" t="s">
        <v>91</v>
      </c>
      <c r="D18" s="23" t="s">
        <v>114</v>
      </c>
    </row>
    <row r="19" ht="14.25" customHeight="1">
      <c r="A19" s="151"/>
      <c r="B19" s="71"/>
      <c r="C19" s="72" t="s">
        <v>94</v>
      </c>
      <c r="D19" s="155"/>
    </row>
    <row r="20" ht="14.25" customHeight="1">
      <c r="A20" s="151"/>
      <c r="B20" s="156"/>
      <c r="C20" s="156"/>
      <c r="D20" s="151"/>
    </row>
    <row r="21" ht="16.5" customHeight="1">
      <c r="A21" s="1"/>
      <c r="B21" s="23" t="s">
        <v>115</v>
      </c>
      <c r="C21" s="23" t="s">
        <v>18</v>
      </c>
      <c r="D21" s="1"/>
    </row>
    <row r="22" ht="14.25" customHeight="1">
      <c r="A22" s="24">
        <v>1.0</v>
      </c>
      <c r="B22" s="11"/>
      <c r="C22" s="25"/>
      <c r="D22" s="1"/>
      <c r="I22" s="138"/>
    </row>
    <row r="23" ht="14.25" customHeight="1">
      <c r="A23" s="24">
        <v>2.0</v>
      </c>
      <c r="B23" s="11"/>
      <c r="C23" s="25"/>
      <c r="D23" s="1"/>
    </row>
    <row r="24" ht="14.25" customHeight="1">
      <c r="A24" s="24">
        <v>3.0</v>
      </c>
      <c r="B24" s="11"/>
      <c r="C24" s="25"/>
      <c r="D24" s="1"/>
    </row>
    <row r="25" ht="14.25" customHeight="1">
      <c r="A25" s="24">
        <v>4.0</v>
      </c>
      <c r="B25" s="11"/>
      <c r="C25" s="25"/>
      <c r="D25" s="1"/>
    </row>
    <row r="26" ht="14.25" customHeight="1">
      <c r="A26" s="24">
        <v>5.0</v>
      </c>
      <c r="B26" s="11"/>
      <c r="C26" s="25"/>
      <c r="D26" s="1"/>
    </row>
    <row r="27" ht="14.25" customHeight="1">
      <c r="A27" s="24">
        <v>6.0</v>
      </c>
      <c r="B27" s="11"/>
      <c r="C27" s="25"/>
      <c r="D27" s="1"/>
    </row>
    <row r="28" ht="14.25" customHeight="1">
      <c r="A28" s="24">
        <v>7.0</v>
      </c>
      <c r="B28" s="11"/>
      <c r="C28" s="25"/>
      <c r="D28" s="1"/>
    </row>
    <row r="29" ht="14.25" customHeight="1">
      <c r="A29" s="24">
        <v>8.0</v>
      </c>
      <c r="B29" s="11"/>
      <c r="C29" s="25"/>
      <c r="D29" s="1"/>
    </row>
    <row r="30" ht="14.25" customHeight="1">
      <c r="A30" s="24">
        <v>9.0</v>
      </c>
      <c r="B30" s="11"/>
      <c r="C30" s="25"/>
      <c r="D30" s="1"/>
    </row>
    <row r="31" ht="14.25" customHeight="1">
      <c r="A31" s="24">
        <v>10.0</v>
      </c>
      <c r="B31" s="11"/>
      <c r="C31" s="25"/>
      <c r="D31" s="1"/>
    </row>
    <row r="32" ht="14.25" customHeight="1">
      <c r="A32" s="24">
        <v>11.0</v>
      </c>
      <c r="B32" s="11"/>
      <c r="C32" s="25"/>
      <c r="D32" s="1"/>
    </row>
    <row r="33" ht="14.25" customHeight="1">
      <c r="A33" s="24">
        <v>12.0</v>
      </c>
      <c r="B33" s="11"/>
      <c r="C33" s="25"/>
      <c r="D33" s="1"/>
    </row>
    <row r="34" ht="14.25" customHeight="1">
      <c r="A34" s="24">
        <v>13.0</v>
      </c>
      <c r="B34" s="11"/>
      <c r="C34" s="25"/>
      <c r="D34" s="1"/>
    </row>
    <row r="35" ht="14.25" customHeight="1">
      <c r="A35" s="24">
        <v>14.0</v>
      </c>
      <c r="B35" s="11"/>
      <c r="C35" s="25"/>
      <c r="D35" s="1"/>
    </row>
    <row r="36" ht="14.25" customHeight="1">
      <c r="A36" s="24">
        <v>15.0</v>
      </c>
      <c r="B36" s="11"/>
      <c r="C36" s="25"/>
      <c r="D36" s="1"/>
    </row>
    <row r="37" ht="14.25" customHeight="1">
      <c r="A37" s="24">
        <v>16.0</v>
      </c>
      <c r="B37" s="11"/>
      <c r="C37" s="25"/>
      <c r="D37" s="1"/>
    </row>
    <row r="38" ht="14.25" customHeight="1">
      <c r="A38" s="24">
        <v>17.0</v>
      </c>
      <c r="B38" s="11"/>
      <c r="C38" s="25"/>
      <c r="D38" s="1"/>
    </row>
    <row r="39" ht="14.25" customHeight="1">
      <c r="A39" s="24">
        <v>18.0</v>
      </c>
      <c r="B39" s="11"/>
      <c r="C39" s="25"/>
      <c r="D39" s="1"/>
    </row>
    <row r="40" ht="14.25" customHeight="1">
      <c r="A40" s="24">
        <v>19.0</v>
      </c>
      <c r="B40" s="11"/>
      <c r="C40" s="25"/>
      <c r="D40" s="1"/>
    </row>
    <row r="41" ht="14.25" customHeight="1">
      <c r="A41" s="24">
        <v>20.0</v>
      </c>
      <c r="B41" s="11"/>
      <c r="C41" s="25"/>
      <c r="D41" s="1"/>
    </row>
    <row r="42" ht="14.25" customHeight="1">
      <c r="A42" s="24">
        <v>21.0</v>
      </c>
      <c r="B42" s="26"/>
      <c r="C42" s="27"/>
      <c r="D42" s="1"/>
    </row>
    <row r="43" ht="14.25" customHeight="1">
      <c r="A43" s="24">
        <v>22.0</v>
      </c>
      <c r="B43" s="26"/>
      <c r="C43" s="25"/>
      <c r="D43" s="1"/>
    </row>
    <row r="44" ht="14.25" customHeight="1">
      <c r="A44" s="24">
        <v>23.0</v>
      </c>
      <c r="B44" s="26"/>
      <c r="C44" s="25"/>
      <c r="D44" s="1"/>
    </row>
    <row r="45" ht="14.25" customHeight="1">
      <c r="A45" s="24">
        <v>24.0</v>
      </c>
      <c r="B45" s="26"/>
      <c r="C45" s="25"/>
      <c r="D45" s="1"/>
    </row>
    <row r="46" ht="14.25" customHeight="1">
      <c r="A46" s="24">
        <v>25.0</v>
      </c>
      <c r="B46" s="26"/>
      <c r="C46" s="25"/>
      <c r="D46" s="1"/>
    </row>
    <row r="47" ht="14.25" customHeight="1">
      <c r="A47" s="24">
        <v>26.0</v>
      </c>
      <c r="B47" s="26"/>
      <c r="C47" s="25"/>
      <c r="D47" s="1"/>
    </row>
    <row r="48" ht="14.25" customHeight="1">
      <c r="A48" s="24">
        <v>27.0</v>
      </c>
      <c r="B48" s="26"/>
      <c r="C48" s="25"/>
      <c r="D48" s="1"/>
    </row>
    <row r="49" ht="14.25" customHeight="1">
      <c r="A49" s="24">
        <v>28.0</v>
      </c>
      <c r="B49" s="26"/>
      <c r="C49" s="25"/>
      <c r="D49" s="1"/>
    </row>
    <row r="50" ht="14.25" customHeight="1">
      <c r="A50" s="24">
        <v>29.0</v>
      </c>
      <c r="B50" s="26"/>
      <c r="C50" s="25"/>
      <c r="D50" s="1"/>
    </row>
    <row r="51" ht="14.25" customHeight="1">
      <c r="A51" s="24">
        <v>30.0</v>
      </c>
      <c r="B51" s="26"/>
      <c r="C51" s="25"/>
      <c r="D51" s="1"/>
    </row>
    <row r="52" ht="14.25" customHeight="1">
      <c r="A52" s="24">
        <v>31.0</v>
      </c>
      <c r="B52" s="26"/>
      <c r="C52" s="25"/>
      <c r="D52" s="1"/>
    </row>
    <row r="53" ht="14.25" customHeight="1">
      <c r="A53" s="24">
        <v>32.0</v>
      </c>
      <c r="B53" s="26"/>
      <c r="C53" s="25"/>
      <c r="D53" s="1"/>
    </row>
    <row r="54" ht="14.25" customHeight="1">
      <c r="A54" s="24"/>
      <c r="B54" s="157"/>
      <c r="C54" s="158"/>
      <c r="D54" s="1"/>
    </row>
    <row r="55" ht="14.25" customHeight="1">
      <c r="A55" s="151"/>
      <c r="B55" s="141" t="s">
        <v>20</v>
      </c>
      <c r="C55" s="55"/>
      <c r="D55" s="151"/>
    </row>
    <row r="56" ht="14.25" customHeight="1">
      <c r="A56" s="28"/>
      <c r="B56" s="159"/>
      <c r="C56" s="80"/>
      <c r="D56" s="151"/>
    </row>
    <row r="57" ht="14.25" customHeight="1">
      <c r="A57" s="160"/>
      <c r="B57" s="160"/>
      <c r="C57" s="160"/>
      <c r="D57" s="151"/>
    </row>
    <row r="58" ht="14.25" customHeight="1">
      <c r="A58" s="151"/>
      <c r="B58" s="151"/>
      <c r="C58" s="151"/>
      <c r="D58" s="151"/>
    </row>
    <row r="59" ht="14.25" customHeight="1">
      <c r="A59" s="151"/>
      <c r="B59" s="151"/>
      <c r="C59" s="151"/>
      <c r="D59" s="151"/>
    </row>
    <row r="60" ht="14.25" customHeight="1">
      <c r="A60" s="151"/>
      <c r="B60" s="151"/>
      <c r="C60" s="151"/>
      <c r="D60" s="151"/>
    </row>
    <row r="61" ht="14.25" customHeight="1">
      <c r="A61" s="151"/>
      <c r="B61" s="151"/>
      <c r="C61" s="151"/>
      <c r="D61" s="151"/>
    </row>
    <row r="62" ht="14.25" customHeight="1">
      <c r="A62" s="32"/>
      <c r="C62" s="32"/>
    </row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6">
    <mergeCell ref="C10:D10"/>
    <mergeCell ref="C11:D11"/>
    <mergeCell ref="B12:D12"/>
    <mergeCell ref="C13:D13"/>
    <mergeCell ref="C14:D14"/>
    <mergeCell ref="I22:J22"/>
    <mergeCell ref="B55:C55"/>
    <mergeCell ref="B56:C56"/>
    <mergeCell ref="A62:B62"/>
    <mergeCell ref="B2:B4"/>
    <mergeCell ref="C2:D4"/>
    <mergeCell ref="C5:D5"/>
    <mergeCell ref="C6:D6"/>
    <mergeCell ref="C7:D7"/>
    <mergeCell ref="C8:D8"/>
    <mergeCell ref="C9:D9"/>
  </mergeCells>
  <printOptions/>
  <pageMargins bottom="0.75" footer="0.0" header="0.0" left="0.25" right="0.25" top="0.75"/>
  <pageSetup paperSize="9" orientation="portrait"/>
  <headerFooter>
    <oddFooter>&amp;LAnexo 2 - MS- 0028921_Rev.04 - Resistência à quebra.  &amp;RPágina &amp;P de &amp;P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5.57"/>
    <col customWidth="1" min="2" max="2" width="32.0"/>
    <col customWidth="1" min="3" max="3" width="32.29"/>
    <col customWidth="1" min="4" max="4" width="39.29"/>
    <col customWidth="1" min="5" max="26" width="9.14"/>
  </cols>
  <sheetData>
    <row r="1" ht="14.25" customHeight="1"/>
    <row r="2" ht="14.25" customHeight="1">
      <c r="A2" s="1"/>
      <c r="B2" s="2"/>
      <c r="C2" s="149" t="s">
        <v>116</v>
      </c>
      <c r="D2" s="4"/>
    </row>
    <row r="3" ht="14.25" customHeight="1">
      <c r="A3" s="1"/>
      <c r="B3" s="5"/>
      <c r="C3" s="6"/>
      <c r="D3" s="7"/>
    </row>
    <row r="4" ht="14.25" customHeight="1">
      <c r="A4" s="1"/>
      <c r="B4" s="8"/>
      <c r="C4" s="9"/>
      <c r="D4" s="10"/>
    </row>
    <row r="5" ht="14.25" customHeight="1">
      <c r="A5" s="1"/>
      <c r="B5" s="11" t="s">
        <v>1</v>
      </c>
      <c r="C5" s="12"/>
      <c r="D5" s="13"/>
    </row>
    <row r="6" ht="14.25" customHeight="1">
      <c r="A6" s="1"/>
      <c r="B6" s="11" t="s">
        <v>2</v>
      </c>
      <c r="C6" s="14"/>
      <c r="D6" s="13"/>
    </row>
    <row r="7" ht="14.25" customHeight="1">
      <c r="A7" s="1"/>
      <c r="B7" s="11" t="s">
        <v>3</v>
      </c>
      <c r="C7" s="14" t="s">
        <v>117</v>
      </c>
      <c r="D7" s="13"/>
    </row>
    <row r="8" ht="14.25" customHeight="1">
      <c r="A8" s="1"/>
      <c r="B8" s="11" t="s">
        <v>5</v>
      </c>
      <c r="C8" s="14"/>
      <c r="D8" s="13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3"/>
    </row>
    <row r="10" ht="16.5" customHeight="1">
      <c r="A10" s="1"/>
      <c r="B10" s="15" t="s">
        <v>8</v>
      </c>
      <c r="C10" s="16"/>
      <c r="D10" s="13"/>
    </row>
    <row r="11" ht="14.25" customHeight="1">
      <c r="A11" s="1"/>
      <c r="B11" s="11" t="s">
        <v>9</v>
      </c>
      <c r="C11" s="150"/>
      <c r="D11" s="13"/>
      <c r="H11" s="130"/>
    </row>
    <row r="12" ht="14.25" customHeight="1">
      <c r="A12" s="1"/>
      <c r="B12" s="66" t="s">
        <v>10</v>
      </c>
      <c r="C12" s="18"/>
      <c r="D12" s="13"/>
    </row>
    <row r="13" ht="14.25" customHeight="1">
      <c r="A13" s="1"/>
      <c r="B13" s="11" t="s">
        <v>11</v>
      </c>
      <c r="C13" s="19" t="s">
        <v>118</v>
      </c>
      <c r="D13" s="13"/>
    </row>
    <row r="14" ht="14.25" customHeight="1">
      <c r="A14" s="1"/>
      <c r="B14" s="11" t="s">
        <v>13</v>
      </c>
      <c r="C14" s="20"/>
      <c r="D14" s="13"/>
    </row>
    <row r="15" ht="14.25" customHeight="1">
      <c r="A15" s="1"/>
      <c r="B15" s="11" t="s">
        <v>14</v>
      </c>
      <c r="C15" s="21" t="s">
        <v>15</v>
      </c>
      <c r="D15" s="11" t="s">
        <v>16</v>
      </c>
    </row>
    <row r="16" ht="14.25" customHeight="1">
      <c r="A16" s="1"/>
      <c r="B16" s="35" t="s">
        <v>119</v>
      </c>
      <c r="C16" s="110" t="s">
        <v>25</v>
      </c>
      <c r="D16" s="110" t="s">
        <v>26</v>
      </c>
      <c r="H16" s="138"/>
    </row>
    <row r="17" ht="14.25" customHeight="1">
      <c r="A17" s="1"/>
      <c r="B17" s="35" t="s">
        <v>120</v>
      </c>
      <c r="C17" s="12"/>
      <c r="D17" s="11" t="s">
        <v>28</v>
      </c>
      <c r="H17" s="138"/>
    </row>
    <row r="18" ht="14.25" customHeight="1">
      <c r="A18" s="1"/>
      <c r="B18" s="22"/>
      <c r="C18" s="22"/>
      <c r="D18" s="1"/>
    </row>
    <row r="19" ht="16.5" customHeight="1">
      <c r="A19" s="1"/>
      <c r="B19" s="132" t="s">
        <v>121</v>
      </c>
      <c r="C19" s="23" t="s">
        <v>18</v>
      </c>
      <c r="D19" s="1"/>
    </row>
    <row r="20" ht="14.25" customHeight="1">
      <c r="A20" s="24">
        <v>1.0</v>
      </c>
      <c r="B20" s="11"/>
      <c r="C20" s="25"/>
      <c r="D20" s="1"/>
    </row>
    <row r="21" ht="14.25" customHeight="1">
      <c r="A21" s="24">
        <v>2.0</v>
      </c>
      <c r="B21" s="11"/>
      <c r="C21" s="25"/>
      <c r="D21" s="1"/>
    </row>
    <row r="22" ht="14.25" customHeight="1">
      <c r="A22" s="24">
        <v>3.0</v>
      </c>
      <c r="B22" s="11"/>
      <c r="C22" s="25"/>
      <c r="D22" s="1"/>
    </row>
    <row r="23" ht="14.25" customHeight="1">
      <c r="A23" s="24">
        <v>4.0</v>
      </c>
      <c r="B23" s="11"/>
      <c r="C23" s="25"/>
      <c r="D23" s="1"/>
    </row>
    <row r="24" ht="14.25" customHeight="1">
      <c r="A24" s="24">
        <v>5.0</v>
      </c>
      <c r="B24" s="11"/>
      <c r="C24" s="25"/>
      <c r="D24" s="1"/>
    </row>
    <row r="25" ht="14.25" customHeight="1">
      <c r="A25" s="24">
        <v>6.0</v>
      </c>
      <c r="B25" s="11"/>
      <c r="C25" s="25"/>
      <c r="D25" s="1"/>
    </row>
    <row r="26" ht="14.25" customHeight="1">
      <c r="A26" s="24">
        <v>7.0</v>
      </c>
      <c r="B26" s="11"/>
      <c r="C26" s="25"/>
      <c r="D26" s="1"/>
    </row>
    <row r="27" ht="14.25" customHeight="1">
      <c r="A27" s="24">
        <v>8.0</v>
      </c>
      <c r="B27" s="11"/>
      <c r="C27" s="25"/>
      <c r="D27" s="1"/>
    </row>
    <row r="28" ht="14.25" customHeight="1">
      <c r="A28" s="24">
        <v>9.0</v>
      </c>
      <c r="B28" s="11"/>
      <c r="C28" s="25"/>
      <c r="D28" s="1"/>
    </row>
    <row r="29" ht="14.25" customHeight="1">
      <c r="A29" s="24">
        <v>10.0</v>
      </c>
      <c r="B29" s="11"/>
      <c r="C29" s="25"/>
      <c r="D29" s="1"/>
    </row>
    <row r="30" ht="14.25" customHeight="1">
      <c r="A30" s="24">
        <v>11.0</v>
      </c>
      <c r="B30" s="11"/>
      <c r="C30" s="25"/>
      <c r="D30" s="1"/>
    </row>
    <row r="31" ht="14.25" customHeight="1">
      <c r="A31" s="24">
        <v>12.0</v>
      </c>
      <c r="B31" s="11"/>
      <c r="C31" s="25"/>
      <c r="D31" s="1"/>
    </row>
    <row r="32" ht="14.25" customHeight="1">
      <c r="A32" s="24">
        <v>13.0</v>
      </c>
      <c r="B32" s="11"/>
      <c r="C32" s="25"/>
      <c r="D32" s="1"/>
    </row>
    <row r="33" ht="14.25" customHeight="1">
      <c r="A33" s="24">
        <v>14.0</v>
      </c>
      <c r="B33" s="11"/>
      <c r="C33" s="25"/>
      <c r="D33" s="1"/>
    </row>
    <row r="34" ht="14.25" customHeight="1">
      <c r="A34" s="24">
        <v>15.0</v>
      </c>
      <c r="B34" s="11"/>
      <c r="C34" s="25"/>
      <c r="D34" s="1"/>
    </row>
    <row r="35" ht="14.25" customHeight="1">
      <c r="A35" s="24">
        <v>16.0</v>
      </c>
      <c r="B35" s="11"/>
      <c r="C35" s="25"/>
      <c r="D35" s="1"/>
    </row>
    <row r="36" ht="14.25" customHeight="1">
      <c r="A36" s="24">
        <v>17.0</v>
      </c>
      <c r="B36" s="11"/>
      <c r="C36" s="25"/>
      <c r="D36" s="1"/>
    </row>
    <row r="37" ht="14.25" customHeight="1">
      <c r="A37" s="24">
        <v>18.0</v>
      </c>
      <c r="B37" s="11"/>
      <c r="C37" s="25"/>
      <c r="D37" s="1"/>
    </row>
    <row r="38" ht="14.25" customHeight="1">
      <c r="A38" s="24">
        <v>19.0</v>
      </c>
      <c r="B38" s="11"/>
      <c r="C38" s="25"/>
      <c r="D38" s="1"/>
    </row>
    <row r="39" ht="14.25" customHeight="1">
      <c r="A39" s="24">
        <v>20.0</v>
      </c>
      <c r="B39" s="11"/>
      <c r="C39" s="25"/>
      <c r="D39" s="1"/>
    </row>
    <row r="40" ht="14.25" customHeight="1">
      <c r="A40" s="24">
        <v>21.0</v>
      </c>
      <c r="B40" s="26"/>
      <c r="C40" s="27"/>
      <c r="D40" s="1"/>
    </row>
    <row r="41" ht="14.25" customHeight="1">
      <c r="A41" s="24">
        <v>22.0</v>
      </c>
      <c r="B41" s="26"/>
      <c r="C41" s="25"/>
      <c r="D41" s="1"/>
    </row>
    <row r="42" ht="14.25" customHeight="1">
      <c r="A42" s="24">
        <v>23.0</v>
      </c>
      <c r="B42" s="26"/>
      <c r="C42" s="25"/>
      <c r="D42" s="1"/>
    </row>
    <row r="43" ht="14.25" customHeight="1">
      <c r="A43" s="24">
        <v>24.0</v>
      </c>
      <c r="B43" s="26"/>
      <c r="C43" s="25"/>
      <c r="D43" s="1"/>
    </row>
    <row r="44" ht="14.25" customHeight="1">
      <c r="A44" s="24">
        <v>25.0</v>
      </c>
      <c r="B44" s="26"/>
      <c r="C44" s="25"/>
      <c r="D44" s="1"/>
    </row>
    <row r="45" ht="14.25" customHeight="1">
      <c r="A45" s="24">
        <v>26.0</v>
      </c>
      <c r="B45" s="26"/>
      <c r="C45" s="25"/>
      <c r="D45" s="1"/>
    </row>
    <row r="46" ht="14.25" customHeight="1">
      <c r="A46" s="24">
        <v>27.0</v>
      </c>
      <c r="B46" s="26"/>
      <c r="C46" s="25"/>
      <c r="D46" s="1"/>
    </row>
    <row r="47" ht="14.25" customHeight="1">
      <c r="A47" s="24">
        <v>28.0</v>
      </c>
      <c r="B47" s="26"/>
      <c r="C47" s="25"/>
      <c r="D47" s="1"/>
    </row>
    <row r="48" ht="14.25" customHeight="1">
      <c r="A48" s="24">
        <v>29.0</v>
      </c>
      <c r="B48" s="26"/>
      <c r="C48" s="25"/>
      <c r="D48" s="1"/>
    </row>
    <row r="49" ht="14.25" customHeight="1">
      <c r="A49" s="24">
        <v>30.0</v>
      </c>
      <c r="B49" s="26"/>
      <c r="C49" s="25"/>
      <c r="D49" s="1"/>
    </row>
    <row r="50" ht="14.25" customHeight="1">
      <c r="A50" s="24">
        <v>31.0</v>
      </c>
      <c r="B50" s="26"/>
      <c r="C50" s="25"/>
      <c r="D50" s="1"/>
    </row>
    <row r="51" ht="14.25" customHeight="1">
      <c r="A51" s="24">
        <v>32.0</v>
      </c>
      <c r="B51" s="26"/>
      <c r="C51" s="25"/>
      <c r="D51" s="1"/>
    </row>
    <row r="52" ht="14.25" customHeight="1">
      <c r="A52" s="24"/>
      <c r="B52" s="157"/>
      <c r="C52" s="158"/>
      <c r="D52" s="1"/>
    </row>
    <row r="53" ht="14.25" customHeight="1">
      <c r="B53" s="106" t="s">
        <v>20</v>
      </c>
      <c r="C53" s="55"/>
    </row>
    <row r="54" ht="14.25" customHeight="1">
      <c r="A54" s="28"/>
      <c r="B54" s="159"/>
      <c r="C54" s="80"/>
    </row>
    <row r="55" ht="14.25" customHeight="1">
      <c r="A55" s="161"/>
      <c r="B55" s="161"/>
      <c r="C55" s="161"/>
    </row>
    <row r="56" ht="14.25" customHeight="1"/>
    <row r="57" ht="14.25" customHeight="1"/>
    <row r="58" ht="14.25" customHeight="1"/>
    <row r="59" ht="14.25" customHeight="1"/>
    <row r="60" ht="14.25" customHeight="1">
      <c r="A60" s="32"/>
      <c r="C60" s="32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C10:D10"/>
    <mergeCell ref="C11:D11"/>
    <mergeCell ref="H11:I15"/>
    <mergeCell ref="B12:D12"/>
    <mergeCell ref="C13:D13"/>
    <mergeCell ref="C14:D14"/>
    <mergeCell ref="H16:I16"/>
    <mergeCell ref="H17:I17"/>
    <mergeCell ref="B53:C53"/>
    <mergeCell ref="B54:C54"/>
    <mergeCell ref="A60:B60"/>
    <mergeCell ref="B2:B4"/>
    <mergeCell ref="C2:D4"/>
    <mergeCell ref="C5:D5"/>
    <mergeCell ref="C6:D6"/>
    <mergeCell ref="C7:D7"/>
    <mergeCell ref="C8:D8"/>
    <mergeCell ref="C9:D9"/>
  </mergeCells>
  <printOptions/>
  <pageMargins bottom="0.75" footer="0.0" header="0.0" left="0.25" right="0.25" top="0.75"/>
  <pageSetup paperSize="9" orientation="portrait"/>
  <headerFooter>
    <oddFooter>&amp;LAnexo 2 - MS- 0028921_Rev.04 - Resistência a corrosão. &amp;RPágina &amp;P de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6.86"/>
    <col customWidth="1" min="3" max="3" width="38.0"/>
    <col customWidth="1" min="4" max="4" width="37.57"/>
    <col customWidth="1" min="5" max="5" width="18.43"/>
    <col customWidth="1" min="6" max="26" width="8.71"/>
  </cols>
  <sheetData>
    <row r="1" ht="15.0" customHeight="1">
      <c r="A1" s="1"/>
      <c r="B1" s="1"/>
      <c r="C1" s="1"/>
      <c r="D1" s="1"/>
      <c r="E1" s="1"/>
    </row>
    <row r="2" ht="24.75" customHeight="1">
      <c r="A2" s="1"/>
      <c r="B2" s="2"/>
      <c r="C2" s="142" t="s">
        <v>122</v>
      </c>
      <c r="D2" s="53"/>
      <c r="E2" s="4"/>
    </row>
    <row r="3" ht="14.25" customHeight="1">
      <c r="A3" s="1"/>
      <c r="B3" s="5"/>
      <c r="C3" s="6"/>
      <c r="E3" s="7"/>
    </row>
    <row r="4" ht="14.25" customHeight="1">
      <c r="A4" s="1"/>
      <c r="B4" s="54"/>
      <c r="C4" s="9"/>
      <c r="D4" s="55"/>
      <c r="E4" s="10"/>
    </row>
    <row r="5" ht="14.25" customHeight="1">
      <c r="A5" s="1"/>
      <c r="B5" s="11" t="s">
        <v>1</v>
      </c>
      <c r="C5" s="12"/>
      <c r="D5" s="18"/>
      <c r="E5" s="13"/>
    </row>
    <row r="6" ht="14.25" customHeight="1">
      <c r="A6" s="1"/>
      <c r="B6" s="11" t="s">
        <v>2</v>
      </c>
      <c r="C6" s="14"/>
      <c r="D6" s="18"/>
      <c r="E6" s="13"/>
    </row>
    <row r="7" ht="14.25" customHeight="1">
      <c r="A7" s="1"/>
      <c r="B7" s="11" t="s">
        <v>3</v>
      </c>
      <c r="C7" s="14" t="s">
        <v>123</v>
      </c>
      <c r="D7" s="18"/>
      <c r="E7" s="13"/>
    </row>
    <row r="8" ht="14.25" customHeight="1">
      <c r="A8" s="1"/>
      <c r="B8" s="11" t="s">
        <v>5</v>
      </c>
      <c r="C8" s="14"/>
      <c r="D8" s="18"/>
      <c r="E8" s="13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8"/>
      <c r="E9" s="13"/>
      <c r="G9" s="162"/>
    </row>
    <row r="10" ht="15.75" customHeight="1">
      <c r="A10" s="1"/>
      <c r="B10" s="15" t="s">
        <v>8</v>
      </c>
      <c r="C10" s="16"/>
      <c r="D10" s="18"/>
      <c r="E10" s="13"/>
    </row>
    <row r="11" ht="15.0" customHeight="1">
      <c r="A11" s="1"/>
      <c r="B11" s="11" t="s">
        <v>9</v>
      </c>
      <c r="C11" s="14"/>
      <c r="D11" s="18"/>
      <c r="E11" s="13"/>
      <c r="G11" s="163"/>
      <c r="H11" s="163"/>
    </row>
    <row r="12" ht="14.25" customHeight="1">
      <c r="A12" s="1"/>
      <c r="B12" s="97" t="s">
        <v>10</v>
      </c>
      <c r="C12" s="18"/>
      <c r="D12" s="18"/>
      <c r="E12" s="13"/>
      <c r="G12" s="92"/>
    </row>
    <row r="13" ht="14.25" customHeight="1">
      <c r="A13" s="1"/>
      <c r="B13" s="11" t="s">
        <v>11</v>
      </c>
      <c r="C13" s="19" t="s">
        <v>124</v>
      </c>
      <c r="D13" s="18"/>
      <c r="E13" s="13"/>
      <c r="G13" s="144"/>
    </row>
    <row r="14" ht="14.25" customHeight="1">
      <c r="A14" s="1"/>
      <c r="B14" s="11" t="s">
        <v>13</v>
      </c>
      <c r="C14" s="20"/>
      <c r="D14" s="18"/>
      <c r="E14" s="13"/>
      <c r="G14" s="65"/>
    </row>
    <row r="15" ht="14.25" customHeight="1">
      <c r="A15" s="1"/>
      <c r="B15" s="11" t="s">
        <v>14</v>
      </c>
      <c r="C15" s="11" t="s">
        <v>15</v>
      </c>
      <c r="D15" s="14" t="s">
        <v>16</v>
      </c>
      <c r="E15" s="13"/>
      <c r="G15" s="65"/>
      <c r="H15" s="65"/>
    </row>
    <row r="16" ht="14.25" customHeight="1">
      <c r="A16" s="1"/>
      <c r="B16" s="1"/>
      <c r="C16" s="65"/>
      <c r="G16" s="65"/>
      <c r="H16" s="65"/>
    </row>
    <row r="17" ht="14.25" customHeight="1">
      <c r="A17" s="1"/>
      <c r="B17" s="1"/>
      <c r="C17" s="63"/>
      <c r="D17" s="63"/>
      <c r="E17" s="1"/>
      <c r="G17" s="65"/>
      <c r="H17" s="65"/>
    </row>
    <row r="18" ht="14.25" customHeight="1">
      <c r="A18" s="1"/>
      <c r="B18" s="1"/>
      <c r="C18" s="1"/>
      <c r="D18" s="1"/>
      <c r="E18" s="1"/>
      <c r="G18" s="44"/>
    </row>
    <row r="19" ht="14.25" customHeight="1">
      <c r="A19" s="1"/>
      <c r="B19" s="164" t="s">
        <v>125</v>
      </c>
      <c r="C19" s="164" t="s">
        <v>126</v>
      </c>
      <c r="D19" s="164" t="s">
        <v>127</v>
      </c>
      <c r="E19" s="1"/>
      <c r="G19" s="144"/>
    </row>
    <row r="20" ht="14.25" customHeight="1">
      <c r="A20" s="1"/>
      <c r="B20" s="8"/>
      <c r="C20" s="8"/>
      <c r="D20" s="8"/>
      <c r="E20" s="1"/>
    </row>
    <row r="21" ht="14.25" customHeight="1">
      <c r="A21" s="1"/>
      <c r="B21" s="43"/>
      <c r="C21" s="43"/>
      <c r="D21" s="43"/>
      <c r="E21" s="1"/>
    </row>
    <row r="22" ht="14.25" customHeight="1">
      <c r="A22" s="1"/>
      <c r="B22" s="44"/>
      <c r="C22" s="45" t="str">
        <f>IF(B21="","",(B21+C21))</f>
        <v/>
      </c>
      <c r="D22" s="45" t="str">
        <f>IF(B21="","",B21-D21)</f>
        <v/>
      </c>
      <c r="E22" s="1"/>
    </row>
    <row r="23" ht="14.25" customHeight="1">
      <c r="A23" s="1"/>
      <c r="B23" s="1"/>
      <c r="C23" s="1"/>
      <c r="D23" s="1"/>
      <c r="E23" s="1"/>
      <c r="F23" s="46"/>
    </row>
    <row r="24" ht="14.25" customHeight="1">
      <c r="A24" s="1"/>
      <c r="B24" s="1"/>
      <c r="C24" s="1"/>
      <c r="D24" s="1"/>
      <c r="E24" s="1"/>
    </row>
    <row r="25" ht="14.25" customHeight="1">
      <c r="A25" s="24"/>
      <c r="B25" s="23" t="s">
        <v>128</v>
      </c>
      <c r="C25" s="23" t="s">
        <v>35</v>
      </c>
      <c r="D25" s="22"/>
      <c r="E25" s="1"/>
    </row>
    <row r="26" ht="14.25" customHeight="1">
      <c r="A26" s="24">
        <v>1.0</v>
      </c>
      <c r="B26" s="47"/>
      <c r="C26" s="48" t="str">
        <f t="shared" ref="C26:C57" si="1">IF(B26="","",IF(B26&gt;=$D$22,IF(B26&lt;=$C$22,"Aprovado","Reprovado"),"Reprovado"))</f>
        <v/>
      </c>
      <c r="D26" s="44"/>
      <c r="E26" s="1"/>
    </row>
    <row r="27" ht="14.25" customHeight="1">
      <c r="A27" s="24">
        <v>2.0</v>
      </c>
      <c r="B27" s="47"/>
      <c r="C27" s="48" t="str">
        <f t="shared" si="1"/>
        <v/>
      </c>
      <c r="D27" s="44"/>
      <c r="E27" s="1"/>
    </row>
    <row r="28" ht="14.25" customHeight="1">
      <c r="A28" s="24">
        <v>3.0</v>
      </c>
      <c r="B28" s="47"/>
      <c r="C28" s="48" t="str">
        <f t="shared" si="1"/>
        <v/>
      </c>
      <c r="D28" s="44"/>
      <c r="E28" s="1"/>
    </row>
    <row r="29" ht="14.25" customHeight="1">
      <c r="A29" s="24">
        <v>4.0</v>
      </c>
      <c r="B29" s="47"/>
      <c r="C29" s="48" t="str">
        <f t="shared" si="1"/>
        <v/>
      </c>
      <c r="D29" s="44"/>
      <c r="E29" s="1"/>
    </row>
    <row r="30" ht="14.25" customHeight="1">
      <c r="A30" s="24">
        <v>5.0</v>
      </c>
      <c r="B30" s="47"/>
      <c r="C30" s="48" t="str">
        <f t="shared" si="1"/>
        <v/>
      </c>
      <c r="D30" s="44"/>
      <c r="E30" s="1"/>
    </row>
    <row r="31" ht="14.25" customHeight="1">
      <c r="A31" s="24">
        <v>6.0</v>
      </c>
      <c r="B31" s="47"/>
      <c r="C31" s="48" t="str">
        <f t="shared" si="1"/>
        <v/>
      </c>
      <c r="D31" s="44"/>
      <c r="E31" s="1"/>
    </row>
    <row r="32" ht="14.25" customHeight="1">
      <c r="A32" s="24">
        <v>7.0</v>
      </c>
      <c r="B32" s="47"/>
      <c r="C32" s="48" t="str">
        <f t="shared" si="1"/>
        <v/>
      </c>
      <c r="D32" s="44"/>
      <c r="E32" s="1"/>
    </row>
    <row r="33" ht="14.25" customHeight="1">
      <c r="A33" s="24">
        <v>8.0</v>
      </c>
      <c r="B33" s="47"/>
      <c r="C33" s="48" t="str">
        <f t="shared" si="1"/>
        <v/>
      </c>
      <c r="D33" s="44"/>
      <c r="E33" s="1"/>
    </row>
    <row r="34" ht="14.25" customHeight="1">
      <c r="A34" s="24">
        <v>9.0</v>
      </c>
      <c r="B34" s="47"/>
      <c r="C34" s="48" t="str">
        <f t="shared" si="1"/>
        <v/>
      </c>
      <c r="D34" s="44"/>
      <c r="E34" s="1"/>
    </row>
    <row r="35" ht="14.25" customHeight="1">
      <c r="A35" s="24">
        <v>10.0</v>
      </c>
      <c r="B35" s="47"/>
      <c r="C35" s="48" t="str">
        <f t="shared" si="1"/>
        <v/>
      </c>
      <c r="D35" s="44"/>
      <c r="E35" s="1"/>
    </row>
    <row r="36" ht="14.25" customHeight="1">
      <c r="A36" s="24">
        <v>11.0</v>
      </c>
      <c r="B36" s="47"/>
      <c r="C36" s="48" t="str">
        <f t="shared" si="1"/>
        <v/>
      </c>
      <c r="D36" s="44"/>
      <c r="E36" s="1"/>
    </row>
    <row r="37" ht="14.25" customHeight="1">
      <c r="A37" s="24">
        <v>12.0</v>
      </c>
      <c r="B37" s="47"/>
      <c r="C37" s="48" t="str">
        <f t="shared" si="1"/>
        <v/>
      </c>
      <c r="D37" s="44"/>
      <c r="E37" s="1"/>
    </row>
    <row r="38" ht="14.25" customHeight="1">
      <c r="A38" s="24">
        <v>13.0</v>
      </c>
      <c r="B38" s="47"/>
      <c r="C38" s="48" t="str">
        <f t="shared" si="1"/>
        <v/>
      </c>
      <c r="D38" s="44"/>
      <c r="E38" s="1"/>
    </row>
    <row r="39" ht="14.25" customHeight="1">
      <c r="A39" s="24">
        <v>14.0</v>
      </c>
      <c r="B39" s="47"/>
      <c r="C39" s="48" t="str">
        <f t="shared" si="1"/>
        <v/>
      </c>
      <c r="D39" s="44"/>
      <c r="E39" s="1"/>
    </row>
    <row r="40" ht="14.25" customHeight="1">
      <c r="A40" s="24">
        <v>15.0</v>
      </c>
      <c r="B40" s="47"/>
      <c r="C40" s="48" t="str">
        <f t="shared" si="1"/>
        <v/>
      </c>
      <c r="D40" s="44"/>
      <c r="E40" s="1"/>
    </row>
    <row r="41" ht="14.25" customHeight="1">
      <c r="A41" s="24">
        <v>16.0</v>
      </c>
      <c r="B41" s="47"/>
      <c r="C41" s="48" t="str">
        <f t="shared" si="1"/>
        <v/>
      </c>
      <c r="D41" s="44"/>
      <c r="E41" s="1"/>
    </row>
    <row r="42" ht="14.25" customHeight="1">
      <c r="A42" s="24">
        <v>17.0</v>
      </c>
      <c r="B42" s="47"/>
      <c r="C42" s="48" t="str">
        <f t="shared" si="1"/>
        <v/>
      </c>
      <c r="D42" s="44"/>
      <c r="E42" s="1"/>
    </row>
    <row r="43" ht="14.25" customHeight="1">
      <c r="A43" s="24">
        <v>18.0</v>
      </c>
      <c r="B43" s="47"/>
      <c r="C43" s="48" t="str">
        <f t="shared" si="1"/>
        <v/>
      </c>
      <c r="D43" s="44"/>
      <c r="E43" s="1"/>
    </row>
    <row r="44" ht="14.25" customHeight="1">
      <c r="A44" s="24">
        <v>19.0</v>
      </c>
      <c r="B44" s="47"/>
      <c r="C44" s="48" t="str">
        <f t="shared" si="1"/>
        <v/>
      </c>
      <c r="D44" s="44"/>
      <c r="E44" s="1"/>
    </row>
    <row r="45" ht="14.25" customHeight="1">
      <c r="A45" s="24">
        <v>20.0</v>
      </c>
      <c r="B45" s="47"/>
      <c r="C45" s="48" t="str">
        <f t="shared" si="1"/>
        <v/>
      </c>
      <c r="D45" s="44"/>
      <c r="E45" s="1"/>
    </row>
    <row r="46" ht="14.25" customHeight="1">
      <c r="A46" s="24">
        <v>21.0</v>
      </c>
      <c r="B46" s="47"/>
      <c r="C46" s="48" t="str">
        <f t="shared" si="1"/>
        <v/>
      </c>
      <c r="D46" s="44"/>
      <c r="E46" s="1"/>
    </row>
    <row r="47" ht="14.25" customHeight="1">
      <c r="A47" s="24">
        <v>22.0</v>
      </c>
      <c r="B47" s="47"/>
      <c r="C47" s="48" t="str">
        <f t="shared" si="1"/>
        <v/>
      </c>
      <c r="D47" s="44"/>
      <c r="E47" s="1"/>
    </row>
    <row r="48" ht="14.25" customHeight="1">
      <c r="A48" s="24">
        <v>23.0</v>
      </c>
      <c r="B48" s="47"/>
      <c r="C48" s="48" t="str">
        <f t="shared" si="1"/>
        <v/>
      </c>
      <c r="D48" s="44"/>
      <c r="E48" s="1"/>
    </row>
    <row r="49" ht="14.25" customHeight="1">
      <c r="A49" s="24">
        <v>24.0</v>
      </c>
      <c r="B49" s="47"/>
      <c r="C49" s="48" t="str">
        <f t="shared" si="1"/>
        <v/>
      </c>
      <c r="D49" s="44"/>
      <c r="E49" s="1"/>
    </row>
    <row r="50" ht="14.25" customHeight="1">
      <c r="A50" s="24">
        <v>25.0</v>
      </c>
      <c r="B50" s="47"/>
      <c r="C50" s="48" t="str">
        <f t="shared" si="1"/>
        <v/>
      </c>
      <c r="D50" s="44"/>
      <c r="E50" s="1"/>
    </row>
    <row r="51" ht="14.25" customHeight="1">
      <c r="A51" s="24">
        <v>26.0</v>
      </c>
      <c r="B51" s="47"/>
      <c r="C51" s="48" t="str">
        <f t="shared" si="1"/>
        <v/>
      </c>
      <c r="D51" s="44"/>
      <c r="E51" s="1"/>
    </row>
    <row r="52" ht="14.25" customHeight="1">
      <c r="A52" s="24">
        <v>27.0</v>
      </c>
      <c r="B52" s="47"/>
      <c r="C52" s="48" t="str">
        <f t="shared" si="1"/>
        <v/>
      </c>
      <c r="D52" s="44"/>
      <c r="E52" s="1"/>
    </row>
    <row r="53" ht="14.25" customHeight="1">
      <c r="A53" s="24">
        <v>28.0</v>
      </c>
      <c r="B53" s="47"/>
      <c r="C53" s="48" t="str">
        <f t="shared" si="1"/>
        <v/>
      </c>
      <c r="D53" s="44"/>
      <c r="E53" s="1"/>
    </row>
    <row r="54" ht="14.25" customHeight="1">
      <c r="A54" s="24">
        <v>29.0</v>
      </c>
      <c r="B54" s="47"/>
      <c r="C54" s="48" t="str">
        <f t="shared" si="1"/>
        <v/>
      </c>
      <c r="D54" s="44"/>
      <c r="E54" s="1"/>
    </row>
    <row r="55" ht="14.25" customHeight="1">
      <c r="A55" s="24">
        <v>30.0</v>
      </c>
      <c r="B55" s="47"/>
      <c r="C55" s="48" t="str">
        <f t="shared" si="1"/>
        <v/>
      </c>
      <c r="D55" s="44"/>
      <c r="E55" s="1"/>
    </row>
    <row r="56" ht="14.25" customHeight="1">
      <c r="A56" s="24">
        <v>31.0</v>
      </c>
      <c r="B56" s="47"/>
      <c r="C56" s="48" t="str">
        <f t="shared" si="1"/>
        <v/>
      </c>
      <c r="D56" s="44"/>
      <c r="E56" s="1"/>
    </row>
    <row r="57" ht="14.25" customHeight="1">
      <c r="A57" s="24">
        <v>32.0</v>
      </c>
      <c r="B57" s="47"/>
      <c r="C57" s="48" t="str">
        <f t="shared" si="1"/>
        <v/>
      </c>
      <c r="D57" s="44"/>
      <c r="E57" s="1"/>
    </row>
    <row r="58" ht="14.25" customHeight="1">
      <c r="A58" s="24"/>
      <c r="B58" s="165"/>
      <c r="C58" s="166"/>
      <c r="D58" s="44"/>
      <c r="E58" s="1"/>
    </row>
    <row r="59" ht="18.75" customHeight="1">
      <c r="A59" s="1"/>
      <c r="B59" s="141" t="s">
        <v>20</v>
      </c>
      <c r="C59" s="55"/>
      <c r="D59" s="1"/>
      <c r="E59" s="1"/>
    </row>
    <row r="60" ht="14.25" customHeight="1">
      <c r="A60" s="1"/>
      <c r="B60" s="24"/>
      <c r="C60" s="1"/>
      <c r="D60" s="1"/>
      <c r="E60" s="1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4">
    <mergeCell ref="B2:B4"/>
    <mergeCell ref="C2:E4"/>
    <mergeCell ref="C5:E5"/>
    <mergeCell ref="C6:E6"/>
    <mergeCell ref="C7:E7"/>
    <mergeCell ref="C8:E8"/>
    <mergeCell ref="G9:H10"/>
    <mergeCell ref="G13:H13"/>
    <mergeCell ref="G14:H14"/>
    <mergeCell ref="G18:H18"/>
    <mergeCell ref="G19:H19"/>
    <mergeCell ref="D15:E15"/>
    <mergeCell ref="C16:E16"/>
    <mergeCell ref="B19:B20"/>
    <mergeCell ref="C19:C20"/>
    <mergeCell ref="D19:D20"/>
    <mergeCell ref="B59:C59"/>
    <mergeCell ref="C9:E9"/>
    <mergeCell ref="C10:E10"/>
    <mergeCell ref="C11:E11"/>
    <mergeCell ref="B12:E12"/>
    <mergeCell ref="G12:H12"/>
    <mergeCell ref="C13:E13"/>
    <mergeCell ref="C14:E14"/>
  </mergeCells>
  <printOptions/>
  <pageMargins bottom="0.75" footer="0.0" header="0.0" left="0.25" right="0.25" top="0.75"/>
  <pageSetup fitToHeight="0" paperSize="9" orientation="portrait"/>
  <headerFooter>
    <oddFooter>&amp;LAnexo 2 - MS- 0028921_Rev.04 - Tolerância do comprimento da cânula da agulha. &amp;RPágina &amp;P de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3.57"/>
    <col customWidth="1" min="2" max="2" width="37.86"/>
    <col customWidth="1" min="3" max="3" width="32.29"/>
    <col customWidth="1" min="4" max="4" width="36.71"/>
    <col customWidth="1" min="5" max="5" width="22.29"/>
    <col customWidth="1" min="6" max="26" width="9.14"/>
  </cols>
  <sheetData>
    <row r="1" ht="14.25" customHeight="1">
      <c r="A1" s="1"/>
      <c r="B1" s="1"/>
      <c r="C1" s="1"/>
      <c r="D1" s="1"/>
      <c r="E1" s="1"/>
    </row>
    <row r="2" ht="27.0" customHeight="1">
      <c r="A2" s="1"/>
      <c r="B2" s="2"/>
      <c r="C2" s="142" t="s">
        <v>129</v>
      </c>
      <c r="D2" s="53"/>
      <c r="E2" s="4"/>
    </row>
    <row r="3" ht="14.25" customHeight="1">
      <c r="A3" s="1"/>
      <c r="B3" s="5"/>
      <c r="C3" s="6"/>
      <c r="E3" s="7"/>
    </row>
    <row r="4" ht="14.25" customHeight="1">
      <c r="A4" s="1"/>
      <c r="B4" s="54"/>
      <c r="C4" s="9"/>
      <c r="D4" s="55"/>
      <c r="E4" s="10"/>
    </row>
    <row r="5" ht="14.25" customHeight="1">
      <c r="A5" s="1"/>
      <c r="B5" s="11" t="s">
        <v>1</v>
      </c>
      <c r="C5" s="12"/>
      <c r="D5" s="18"/>
      <c r="E5" s="13"/>
    </row>
    <row r="6" ht="14.25" customHeight="1">
      <c r="A6" s="1"/>
      <c r="B6" s="11" t="s">
        <v>2</v>
      </c>
      <c r="C6" s="14"/>
      <c r="D6" s="18"/>
      <c r="E6" s="13"/>
    </row>
    <row r="7" ht="14.25" customHeight="1">
      <c r="A7" s="1"/>
      <c r="B7" s="11" t="s">
        <v>3</v>
      </c>
      <c r="C7" s="14" t="s">
        <v>130</v>
      </c>
      <c r="D7" s="18"/>
      <c r="E7" s="13"/>
      <c r="F7" s="130"/>
    </row>
    <row r="8" ht="14.25" customHeight="1">
      <c r="A8" s="1"/>
      <c r="B8" s="11" t="s">
        <v>5</v>
      </c>
      <c r="C8" s="14"/>
      <c r="D8" s="18"/>
      <c r="E8" s="13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8"/>
      <c r="E9" s="13"/>
    </row>
    <row r="10" ht="16.5" customHeight="1">
      <c r="A10" s="1"/>
      <c r="B10" s="15" t="s">
        <v>8</v>
      </c>
      <c r="C10" s="16"/>
      <c r="D10" s="18"/>
      <c r="E10" s="13"/>
    </row>
    <row r="11" ht="14.25" customHeight="1">
      <c r="A11" s="1"/>
      <c r="B11" s="11" t="s">
        <v>9</v>
      </c>
      <c r="C11" s="14"/>
      <c r="D11" s="18"/>
      <c r="E11" s="13"/>
    </row>
    <row r="12" ht="14.25" customHeight="1">
      <c r="A12" s="1"/>
      <c r="B12" s="97" t="s">
        <v>10</v>
      </c>
      <c r="C12" s="18"/>
      <c r="D12" s="18"/>
      <c r="E12" s="13"/>
      <c r="F12" s="137"/>
      <c r="H12" s="167" t="s">
        <v>131</v>
      </c>
    </row>
    <row r="13" ht="14.25" customHeight="1">
      <c r="A13" s="1"/>
      <c r="B13" s="11" t="s">
        <v>11</v>
      </c>
      <c r="C13" s="19" t="s">
        <v>132</v>
      </c>
      <c r="D13" s="18"/>
      <c r="E13" s="13"/>
      <c r="F13" s="137"/>
    </row>
    <row r="14" ht="14.25" customHeight="1">
      <c r="A14" s="1"/>
      <c r="B14" s="11" t="s">
        <v>13</v>
      </c>
      <c r="C14" s="20"/>
      <c r="D14" s="18"/>
      <c r="E14" s="13"/>
      <c r="F14" s="138"/>
    </row>
    <row r="15" ht="14.25" customHeight="1">
      <c r="A15" s="1"/>
      <c r="B15" s="11" t="s">
        <v>14</v>
      </c>
      <c r="C15" s="11" t="s">
        <v>15</v>
      </c>
      <c r="D15" s="168" t="s">
        <v>16</v>
      </c>
      <c r="E15" s="10"/>
      <c r="F15" s="138"/>
    </row>
    <row r="16" ht="14.25" customHeight="1">
      <c r="A16" s="1"/>
      <c r="B16" s="1"/>
      <c r="C16" s="1"/>
      <c r="D16" s="1"/>
      <c r="E16" s="1"/>
    </row>
    <row r="17" ht="14.25" customHeight="1">
      <c r="A17" s="1"/>
      <c r="B17" s="145" t="s">
        <v>133</v>
      </c>
      <c r="C17" s="132" t="s">
        <v>134</v>
      </c>
      <c r="D17" s="143"/>
      <c r="E17" s="1"/>
    </row>
    <row r="18" ht="14.25" customHeight="1">
      <c r="A18" s="1"/>
      <c r="B18" s="47"/>
      <c r="C18" s="169"/>
      <c r="D18" s="136"/>
      <c r="E18" s="1"/>
    </row>
    <row r="19" ht="14.25" customHeight="1">
      <c r="A19" s="1"/>
      <c r="B19" s="136"/>
      <c r="C19" s="136"/>
      <c r="D19" s="136"/>
      <c r="E19" s="1"/>
    </row>
    <row r="20" ht="14.25" customHeight="1">
      <c r="A20" s="1"/>
      <c r="B20" s="1"/>
      <c r="C20" s="1"/>
      <c r="D20" s="1"/>
      <c r="E20" s="1"/>
    </row>
    <row r="21" ht="14.25" customHeight="1">
      <c r="A21" s="24"/>
      <c r="B21" s="170" t="s">
        <v>135</v>
      </c>
      <c r="C21" s="23" t="s">
        <v>35</v>
      </c>
      <c r="D21" s="1"/>
      <c r="E21" s="1"/>
    </row>
    <row r="22" ht="14.25" customHeight="1">
      <c r="A22" s="24">
        <v>1.0</v>
      </c>
      <c r="B22" s="169"/>
      <c r="C22" s="48" t="str">
        <f t="shared" ref="C22:C53" si="1">IF(B22="","",IF(B22&gt;=$C$18,"Aprovado","Reprovado"))</f>
        <v/>
      </c>
      <c r="D22" s="1"/>
      <c r="E22" s="1"/>
    </row>
    <row r="23" ht="14.25" customHeight="1">
      <c r="A23" s="24">
        <v>2.0</v>
      </c>
      <c r="B23" s="169"/>
      <c r="C23" s="48" t="str">
        <f t="shared" si="1"/>
        <v/>
      </c>
      <c r="D23" s="1"/>
      <c r="E23" s="1"/>
    </row>
    <row r="24" ht="14.25" customHeight="1">
      <c r="A24" s="24">
        <v>3.0</v>
      </c>
      <c r="B24" s="169"/>
      <c r="C24" s="48" t="str">
        <f t="shared" si="1"/>
        <v/>
      </c>
      <c r="D24" s="1"/>
      <c r="E24" s="1"/>
    </row>
    <row r="25" ht="14.25" customHeight="1">
      <c r="A25" s="24">
        <v>4.0</v>
      </c>
      <c r="B25" s="169"/>
      <c r="C25" s="48" t="str">
        <f t="shared" si="1"/>
        <v/>
      </c>
      <c r="D25" s="1"/>
      <c r="E25" s="1"/>
    </row>
    <row r="26" ht="14.25" customHeight="1">
      <c r="A26" s="24">
        <v>5.0</v>
      </c>
      <c r="B26" s="169"/>
      <c r="C26" s="48" t="str">
        <f t="shared" si="1"/>
        <v/>
      </c>
      <c r="D26" s="1"/>
      <c r="E26" s="1"/>
    </row>
    <row r="27" ht="14.25" customHeight="1">
      <c r="A27" s="24">
        <v>6.0</v>
      </c>
      <c r="B27" s="169"/>
      <c r="C27" s="48" t="str">
        <f t="shared" si="1"/>
        <v/>
      </c>
      <c r="D27" s="1"/>
      <c r="E27" s="1"/>
    </row>
    <row r="28" ht="14.25" customHeight="1">
      <c r="A28" s="24">
        <v>7.0</v>
      </c>
      <c r="B28" s="169"/>
      <c r="C28" s="48" t="str">
        <f t="shared" si="1"/>
        <v/>
      </c>
      <c r="D28" s="1"/>
      <c r="E28" s="1"/>
    </row>
    <row r="29" ht="14.25" customHeight="1">
      <c r="A29" s="24">
        <v>8.0</v>
      </c>
      <c r="B29" s="169"/>
      <c r="C29" s="48" t="str">
        <f t="shared" si="1"/>
        <v/>
      </c>
      <c r="D29" s="1"/>
      <c r="E29" s="1"/>
    </row>
    <row r="30" ht="14.25" customHeight="1">
      <c r="A30" s="24">
        <v>9.0</v>
      </c>
      <c r="B30" s="169"/>
      <c r="C30" s="48" t="str">
        <f t="shared" si="1"/>
        <v/>
      </c>
      <c r="D30" s="1"/>
      <c r="E30" s="1"/>
    </row>
    <row r="31" ht="14.25" customHeight="1">
      <c r="A31" s="24">
        <v>10.0</v>
      </c>
      <c r="B31" s="169"/>
      <c r="C31" s="48" t="str">
        <f t="shared" si="1"/>
        <v/>
      </c>
      <c r="D31" s="1"/>
      <c r="E31" s="1"/>
    </row>
    <row r="32" ht="14.25" customHeight="1">
      <c r="A32" s="24">
        <v>11.0</v>
      </c>
      <c r="B32" s="169"/>
      <c r="C32" s="48" t="str">
        <f t="shared" si="1"/>
        <v/>
      </c>
      <c r="D32" s="1"/>
      <c r="E32" s="1"/>
    </row>
    <row r="33" ht="14.25" customHeight="1">
      <c r="A33" s="24">
        <v>12.0</v>
      </c>
      <c r="B33" s="169"/>
      <c r="C33" s="48" t="str">
        <f t="shared" si="1"/>
        <v/>
      </c>
      <c r="D33" s="1"/>
      <c r="E33" s="1"/>
    </row>
    <row r="34" ht="14.25" customHeight="1">
      <c r="A34" s="24">
        <v>13.0</v>
      </c>
      <c r="B34" s="169"/>
      <c r="C34" s="48" t="str">
        <f t="shared" si="1"/>
        <v/>
      </c>
      <c r="D34" s="1"/>
      <c r="E34" s="1"/>
    </row>
    <row r="35" ht="14.25" customHeight="1">
      <c r="A35" s="24">
        <v>14.0</v>
      </c>
      <c r="B35" s="169"/>
      <c r="C35" s="48" t="str">
        <f t="shared" si="1"/>
        <v/>
      </c>
      <c r="D35" s="1"/>
      <c r="E35" s="1"/>
    </row>
    <row r="36" ht="14.25" customHeight="1">
      <c r="A36" s="24">
        <v>15.0</v>
      </c>
      <c r="B36" s="169"/>
      <c r="C36" s="48" t="str">
        <f t="shared" si="1"/>
        <v/>
      </c>
      <c r="D36" s="1"/>
      <c r="E36" s="1"/>
    </row>
    <row r="37" ht="14.25" customHeight="1">
      <c r="A37" s="24">
        <v>16.0</v>
      </c>
      <c r="B37" s="169"/>
      <c r="C37" s="48" t="str">
        <f t="shared" si="1"/>
        <v/>
      </c>
      <c r="D37" s="1"/>
      <c r="E37" s="1"/>
    </row>
    <row r="38" ht="14.25" customHeight="1">
      <c r="A38" s="24">
        <v>17.0</v>
      </c>
      <c r="B38" s="169"/>
      <c r="C38" s="48" t="str">
        <f t="shared" si="1"/>
        <v/>
      </c>
      <c r="D38" s="1"/>
      <c r="E38" s="1"/>
    </row>
    <row r="39" ht="14.25" customHeight="1">
      <c r="A39" s="24">
        <v>18.0</v>
      </c>
      <c r="B39" s="169"/>
      <c r="C39" s="48" t="str">
        <f t="shared" si="1"/>
        <v/>
      </c>
      <c r="D39" s="1"/>
      <c r="E39" s="1"/>
    </row>
    <row r="40" ht="14.25" customHeight="1">
      <c r="A40" s="24">
        <v>19.0</v>
      </c>
      <c r="B40" s="169"/>
      <c r="C40" s="48" t="str">
        <f t="shared" si="1"/>
        <v/>
      </c>
      <c r="D40" s="1"/>
      <c r="E40" s="1"/>
    </row>
    <row r="41" ht="14.25" customHeight="1">
      <c r="A41" s="24">
        <v>20.0</v>
      </c>
      <c r="B41" s="169"/>
      <c r="C41" s="48" t="str">
        <f t="shared" si="1"/>
        <v/>
      </c>
      <c r="D41" s="1"/>
      <c r="E41" s="1"/>
    </row>
    <row r="42" ht="14.25" customHeight="1">
      <c r="A42" s="24">
        <v>21.0</v>
      </c>
      <c r="B42" s="169"/>
      <c r="C42" s="48" t="str">
        <f t="shared" si="1"/>
        <v/>
      </c>
      <c r="D42" s="1"/>
      <c r="E42" s="1"/>
    </row>
    <row r="43" ht="14.25" customHeight="1">
      <c r="A43" s="24">
        <v>22.0</v>
      </c>
      <c r="B43" s="169"/>
      <c r="C43" s="48" t="str">
        <f t="shared" si="1"/>
        <v/>
      </c>
      <c r="D43" s="1"/>
      <c r="E43" s="1"/>
    </row>
    <row r="44" ht="14.25" customHeight="1">
      <c r="A44" s="24">
        <v>23.0</v>
      </c>
      <c r="B44" s="169"/>
      <c r="C44" s="48" t="str">
        <f t="shared" si="1"/>
        <v/>
      </c>
      <c r="D44" s="1"/>
      <c r="E44" s="1"/>
    </row>
    <row r="45" ht="14.25" customHeight="1">
      <c r="A45" s="24">
        <v>24.0</v>
      </c>
      <c r="B45" s="169"/>
      <c r="C45" s="48" t="str">
        <f t="shared" si="1"/>
        <v/>
      </c>
      <c r="D45" s="1"/>
      <c r="E45" s="1"/>
    </row>
    <row r="46" ht="14.25" customHeight="1">
      <c r="A46" s="24">
        <v>25.0</v>
      </c>
      <c r="B46" s="169"/>
      <c r="C46" s="48" t="str">
        <f t="shared" si="1"/>
        <v/>
      </c>
      <c r="D46" s="1"/>
      <c r="E46" s="1"/>
    </row>
    <row r="47" ht="14.25" customHeight="1">
      <c r="A47" s="24">
        <v>26.0</v>
      </c>
      <c r="B47" s="169"/>
      <c r="C47" s="48" t="str">
        <f t="shared" si="1"/>
        <v/>
      </c>
      <c r="D47" s="1"/>
      <c r="E47" s="1"/>
    </row>
    <row r="48" ht="14.25" customHeight="1">
      <c r="A48" s="24">
        <v>27.0</v>
      </c>
      <c r="B48" s="169"/>
      <c r="C48" s="48" t="str">
        <f t="shared" si="1"/>
        <v/>
      </c>
      <c r="D48" s="1"/>
      <c r="E48" s="1"/>
    </row>
    <row r="49" ht="14.25" customHeight="1">
      <c r="A49" s="24">
        <v>28.0</v>
      </c>
      <c r="B49" s="169"/>
      <c r="C49" s="48" t="str">
        <f t="shared" si="1"/>
        <v/>
      </c>
      <c r="D49" s="1"/>
      <c r="E49" s="1"/>
    </row>
    <row r="50" ht="14.25" customHeight="1">
      <c r="A50" s="24">
        <v>29.0</v>
      </c>
      <c r="B50" s="169"/>
      <c r="C50" s="48" t="str">
        <f t="shared" si="1"/>
        <v/>
      </c>
      <c r="D50" s="1"/>
      <c r="E50" s="1"/>
    </row>
    <row r="51" ht="14.25" customHeight="1">
      <c r="A51" s="24">
        <v>30.0</v>
      </c>
      <c r="B51" s="169"/>
      <c r="C51" s="48" t="str">
        <f t="shared" si="1"/>
        <v/>
      </c>
      <c r="D51" s="1"/>
      <c r="E51" s="1"/>
    </row>
    <row r="52" ht="14.25" customHeight="1">
      <c r="A52" s="24">
        <v>31.0</v>
      </c>
      <c r="B52" s="169"/>
      <c r="C52" s="48" t="str">
        <f t="shared" si="1"/>
        <v/>
      </c>
      <c r="D52" s="1"/>
      <c r="E52" s="1"/>
    </row>
    <row r="53" ht="14.25" customHeight="1">
      <c r="A53" s="24">
        <v>32.0</v>
      </c>
      <c r="B53" s="169"/>
      <c r="C53" s="48" t="str">
        <f t="shared" si="1"/>
        <v/>
      </c>
      <c r="D53" s="1"/>
      <c r="E53" s="1"/>
    </row>
    <row r="54" ht="14.25" customHeight="1">
      <c r="A54" s="24"/>
      <c r="B54" s="171"/>
      <c r="C54" s="166"/>
      <c r="D54" s="1"/>
      <c r="E54" s="1"/>
    </row>
    <row r="55" ht="12.75" customHeight="1">
      <c r="A55" s="1"/>
      <c r="B55" s="172" t="s">
        <v>20</v>
      </c>
      <c r="C55" s="30"/>
      <c r="D55" s="1"/>
      <c r="E55" s="1"/>
    </row>
    <row r="56" ht="6.0" customHeight="1">
      <c r="A56" s="1"/>
      <c r="B56" s="31"/>
      <c r="C56" s="139"/>
      <c r="D56" s="1"/>
      <c r="E56" s="1"/>
    </row>
    <row r="57" ht="14.25" customHeight="1">
      <c r="A57" s="1"/>
      <c r="B57" s="70"/>
      <c r="C57" s="31"/>
      <c r="D57" s="1"/>
      <c r="E57" s="1"/>
    </row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C9:E9"/>
    <mergeCell ref="C10:E10"/>
    <mergeCell ref="B55:C55"/>
    <mergeCell ref="B2:B4"/>
    <mergeCell ref="C2:E4"/>
    <mergeCell ref="C5:E5"/>
    <mergeCell ref="C6:E6"/>
    <mergeCell ref="C7:E7"/>
    <mergeCell ref="F7:G11"/>
    <mergeCell ref="C8:E8"/>
    <mergeCell ref="D15:E15"/>
    <mergeCell ref="F15:G15"/>
    <mergeCell ref="C11:E11"/>
    <mergeCell ref="B12:E12"/>
    <mergeCell ref="F12:G12"/>
    <mergeCell ref="C13:E13"/>
    <mergeCell ref="F13:G13"/>
    <mergeCell ref="C14:E14"/>
    <mergeCell ref="F14:G14"/>
  </mergeCells>
  <printOptions/>
  <pageMargins bottom="0.75" footer="0.0" header="0.0" left="0.25" right="0.25" top="0.75"/>
  <pageSetup paperSize="9" orientation="portrait"/>
  <headerFooter>
    <oddFooter>&amp;LAnexo 2 - MS- 0028921_Rev.04 - União entre canhão e a cânula.&amp;RPágina &amp;P de </oddFooter>
  </headerFooter>
  <colBreaks count="1" manualBreakCount="1">
    <brk id="5" man="1"/>
  </col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 fitToPage="1"/>
  </sheetPr>
  <sheetViews>
    <sheetView showGridLines="0" workbookViewId="0"/>
  </sheetViews>
  <sheetFormatPr customHeight="1" defaultColWidth="14.43" defaultRowHeight="15.0"/>
  <cols>
    <col customWidth="1" min="1" max="1" width="4.29"/>
    <col customWidth="1" min="2" max="2" width="35.43"/>
    <col customWidth="1" min="3" max="3" width="39.71"/>
    <col customWidth="1" min="4" max="4" width="40.57"/>
    <col customWidth="1" min="5" max="5" width="22.29"/>
    <col customWidth="1" min="6" max="26" width="9.14"/>
  </cols>
  <sheetData>
    <row r="1" ht="14.25" customHeight="1"/>
    <row r="2" ht="15.0" customHeight="1">
      <c r="A2" s="1"/>
      <c r="B2" s="2"/>
      <c r="C2" s="142" t="s">
        <v>136</v>
      </c>
      <c r="D2" s="4"/>
    </row>
    <row r="3" ht="14.25" customHeight="1">
      <c r="A3" s="1"/>
      <c r="B3" s="5"/>
      <c r="C3" s="6"/>
      <c r="D3" s="7"/>
    </row>
    <row r="4" ht="14.25" customHeight="1">
      <c r="A4" s="1"/>
      <c r="B4" s="8"/>
      <c r="C4" s="9"/>
      <c r="D4" s="10"/>
    </row>
    <row r="5" ht="14.25" customHeight="1">
      <c r="A5" s="1"/>
      <c r="B5" s="11" t="s">
        <v>1</v>
      </c>
      <c r="C5" s="12"/>
      <c r="D5" s="13"/>
    </row>
    <row r="6" ht="14.25" customHeight="1">
      <c r="A6" s="1"/>
      <c r="B6" s="11" t="s">
        <v>2</v>
      </c>
      <c r="C6" s="14"/>
      <c r="D6" s="13"/>
    </row>
    <row r="7" ht="14.25" customHeight="1">
      <c r="A7" s="1"/>
      <c r="B7" s="11" t="s">
        <v>3</v>
      </c>
      <c r="C7" s="14" t="s">
        <v>137</v>
      </c>
      <c r="D7" s="13"/>
    </row>
    <row r="8" ht="14.25" customHeight="1">
      <c r="A8" s="1"/>
      <c r="B8" s="11" t="s">
        <v>5</v>
      </c>
      <c r="C8" s="14"/>
      <c r="D8" s="13"/>
    </row>
    <row r="9" ht="14.25" customHeight="1">
      <c r="A9" s="1"/>
      <c r="B9" s="11" t="s">
        <v>6</v>
      </c>
      <c r="C9" s="14" t="str">
        <f>'MS- 0028921 Limpeza'!C9</f>
        <v>Agulha hipodérmica estéril para uso único</v>
      </c>
      <c r="D9" s="13"/>
    </row>
    <row r="10" ht="15.75" customHeight="1">
      <c r="A10" s="1"/>
      <c r="B10" s="15" t="s">
        <v>8</v>
      </c>
      <c r="C10" s="16"/>
      <c r="D10" s="13"/>
    </row>
    <row r="11" ht="14.25" customHeight="1">
      <c r="A11" s="1"/>
      <c r="B11" s="11" t="s">
        <v>9</v>
      </c>
      <c r="C11" s="173"/>
      <c r="D11" s="13"/>
    </row>
    <row r="12" ht="14.25" customHeight="1">
      <c r="A12" s="1"/>
      <c r="B12" s="17" t="s">
        <v>10</v>
      </c>
      <c r="C12" s="18"/>
      <c r="D12" s="13"/>
    </row>
    <row r="13" ht="14.25" customHeight="1">
      <c r="A13" s="1"/>
      <c r="B13" s="11" t="s">
        <v>11</v>
      </c>
      <c r="C13" s="19" t="s">
        <v>138</v>
      </c>
      <c r="D13" s="13"/>
      <c r="F13" s="143"/>
    </row>
    <row r="14" ht="14.25" customHeight="1">
      <c r="A14" s="1"/>
      <c r="B14" s="11" t="s">
        <v>13</v>
      </c>
      <c r="C14" s="20"/>
      <c r="D14" s="13"/>
    </row>
    <row r="15" ht="14.25" customHeight="1">
      <c r="A15" s="1"/>
      <c r="B15" s="11" t="s">
        <v>14</v>
      </c>
      <c r="C15" s="21" t="s">
        <v>40</v>
      </c>
      <c r="D15" s="11" t="s">
        <v>139</v>
      </c>
    </row>
    <row r="16" ht="14.25" customHeight="1">
      <c r="B16" s="174" t="s">
        <v>140</v>
      </c>
      <c r="C16" s="175"/>
      <c r="D16" s="13"/>
    </row>
    <row r="17" ht="14.25" customHeight="1">
      <c r="B17" s="176" t="s">
        <v>141</v>
      </c>
      <c r="C17" s="177" t="s">
        <v>142</v>
      </c>
      <c r="D17" s="13"/>
      <c r="F17" s="137"/>
    </row>
    <row r="18" ht="14.25" customHeight="1">
      <c r="C18" s="178"/>
      <c r="D18" s="178"/>
      <c r="F18" s="137"/>
    </row>
    <row r="19" ht="14.25" customHeight="1">
      <c r="B19" s="1"/>
      <c r="C19" s="1"/>
      <c r="D19" s="1"/>
      <c r="F19" s="138"/>
    </row>
    <row r="20" ht="14.25" customHeight="1">
      <c r="B20" s="132" t="s">
        <v>87</v>
      </c>
      <c r="C20" s="132" t="s">
        <v>143</v>
      </c>
      <c r="D20" s="132" t="s">
        <v>91</v>
      </c>
      <c r="F20" s="138"/>
    </row>
    <row r="21" ht="14.25" customHeight="1">
      <c r="B21" s="133"/>
      <c r="C21" s="47"/>
      <c r="D21" s="134" t="s">
        <v>94</v>
      </c>
      <c r="F21" s="137"/>
    </row>
    <row r="22" ht="14.25" customHeight="1">
      <c r="B22" s="136"/>
      <c r="C22" s="179"/>
      <c r="D22" s="136"/>
    </row>
    <row r="23" ht="14.25" customHeight="1">
      <c r="B23" s="1"/>
      <c r="C23" s="1"/>
      <c r="D23" s="1"/>
    </row>
    <row r="24" ht="14.25" customHeight="1">
      <c r="A24" s="98"/>
      <c r="B24" s="23" t="s">
        <v>144</v>
      </c>
      <c r="C24" s="180"/>
      <c r="D24" s="1"/>
    </row>
    <row r="25" ht="14.25" customHeight="1">
      <c r="A25" s="24">
        <v>1.0</v>
      </c>
      <c r="B25" s="11"/>
      <c r="C25" s="139"/>
      <c r="D25" s="1"/>
    </row>
    <row r="26" ht="14.25" customHeight="1">
      <c r="A26" s="24">
        <v>2.0</v>
      </c>
      <c r="B26" s="11"/>
      <c r="C26" s="139"/>
      <c r="D26" s="1"/>
    </row>
    <row r="27" ht="14.25" customHeight="1">
      <c r="A27" s="24">
        <v>3.0</v>
      </c>
      <c r="B27" s="11"/>
      <c r="C27" s="139"/>
      <c r="D27" s="1"/>
    </row>
    <row r="28" ht="14.25" customHeight="1">
      <c r="A28" s="24">
        <v>4.0</v>
      </c>
      <c r="B28" s="11"/>
      <c r="C28" s="139"/>
      <c r="D28" s="1"/>
    </row>
    <row r="29" ht="14.25" customHeight="1">
      <c r="A29" s="24">
        <v>5.0</v>
      </c>
      <c r="B29" s="11"/>
      <c r="C29" s="139"/>
      <c r="D29" s="1"/>
    </row>
    <row r="30" ht="14.25" customHeight="1">
      <c r="A30" s="24">
        <v>6.0</v>
      </c>
      <c r="B30" s="11"/>
      <c r="C30" s="139"/>
      <c r="D30" s="1"/>
    </row>
    <row r="31" ht="14.25" customHeight="1">
      <c r="A31" s="24">
        <v>7.0</v>
      </c>
      <c r="B31" s="11"/>
      <c r="C31" s="139"/>
      <c r="D31" s="1"/>
    </row>
    <row r="32" ht="14.25" customHeight="1">
      <c r="A32" s="24">
        <v>8.0</v>
      </c>
      <c r="B32" s="11"/>
      <c r="C32" s="139"/>
      <c r="D32" s="1"/>
    </row>
    <row r="33" ht="14.25" customHeight="1">
      <c r="A33" s="24">
        <v>9.0</v>
      </c>
      <c r="B33" s="11"/>
      <c r="C33" s="139"/>
      <c r="D33" s="1"/>
    </row>
    <row r="34" ht="14.25" customHeight="1">
      <c r="A34" s="24">
        <v>10.0</v>
      </c>
      <c r="B34" s="11"/>
      <c r="C34" s="139"/>
      <c r="D34" s="1"/>
    </row>
    <row r="35" ht="14.25" customHeight="1">
      <c r="A35" s="24">
        <v>11.0</v>
      </c>
      <c r="B35" s="11"/>
      <c r="C35" s="139"/>
      <c r="D35" s="1"/>
    </row>
    <row r="36" ht="14.25" customHeight="1">
      <c r="A36" s="24">
        <v>12.0</v>
      </c>
      <c r="B36" s="11"/>
      <c r="C36" s="139"/>
      <c r="D36" s="1"/>
    </row>
    <row r="37" ht="14.25" customHeight="1">
      <c r="A37" s="24">
        <v>13.0</v>
      </c>
      <c r="B37" s="11"/>
      <c r="C37" s="139"/>
      <c r="D37" s="1"/>
    </row>
    <row r="38" ht="14.25" customHeight="1">
      <c r="A38" s="24">
        <v>14.0</v>
      </c>
      <c r="B38" s="11"/>
      <c r="C38" s="139"/>
      <c r="D38" s="1"/>
    </row>
    <row r="39" ht="14.25" customHeight="1">
      <c r="A39" s="24">
        <v>15.0</v>
      </c>
      <c r="B39" s="11"/>
      <c r="C39" s="139"/>
      <c r="D39" s="1"/>
    </row>
    <row r="40" ht="14.25" customHeight="1">
      <c r="A40" s="24">
        <v>16.0</v>
      </c>
      <c r="B40" s="11"/>
      <c r="C40" s="139"/>
      <c r="D40" s="1"/>
    </row>
    <row r="41" ht="14.25" customHeight="1">
      <c r="A41" s="24">
        <v>17.0</v>
      </c>
      <c r="B41" s="11"/>
      <c r="C41" s="139"/>
      <c r="D41" s="1"/>
    </row>
    <row r="42" ht="14.25" customHeight="1">
      <c r="A42" s="24">
        <v>18.0</v>
      </c>
      <c r="B42" s="11"/>
      <c r="C42" s="139"/>
      <c r="D42" s="1"/>
    </row>
    <row r="43" ht="14.25" customHeight="1">
      <c r="A43" s="24">
        <v>19.0</v>
      </c>
      <c r="B43" s="11"/>
      <c r="C43" s="139"/>
      <c r="D43" s="1"/>
    </row>
    <row r="44" ht="14.25" customHeight="1">
      <c r="A44" s="24">
        <v>20.0</v>
      </c>
      <c r="B44" s="11"/>
      <c r="C44" s="139"/>
      <c r="D44" s="1"/>
    </row>
    <row r="45" ht="14.25" customHeight="1">
      <c r="A45" s="24">
        <v>21.0</v>
      </c>
      <c r="B45" s="26"/>
      <c r="C45" s="139"/>
      <c r="D45" s="1"/>
    </row>
    <row r="46" ht="14.25" customHeight="1">
      <c r="A46" s="24">
        <v>22.0</v>
      </c>
      <c r="B46" s="26"/>
      <c r="C46" s="139"/>
      <c r="D46" s="1"/>
    </row>
    <row r="47" ht="14.25" customHeight="1">
      <c r="A47" s="24">
        <v>23.0</v>
      </c>
      <c r="B47" s="26"/>
      <c r="C47" s="139"/>
      <c r="D47" s="1"/>
    </row>
    <row r="48" ht="14.25" customHeight="1">
      <c r="A48" s="24">
        <v>24.0</v>
      </c>
      <c r="B48" s="26"/>
      <c r="C48" s="139"/>
      <c r="D48" s="1"/>
    </row>
    <row r="49" ht="14.25" customHeight="1">
      <c r="A49" s="24">
        <v>25.0</v>
      </c>
      <c r="B49" s="26"/>
      <c r="C49" s="139"/>
      <c r="D49" s="1"/>
    </row>
    <row r="50" ht="14.25" customHeight="1">
      <c r="A50" s="24">
        <v>26.0</v>
      </c>
      <c r="B50" s="26"/>
      <c r="C50" s="139"/>
      <c r="D50" s="1"/>
    </row>
    <row r="51" ht="14.25" customHeight="1">
      <c r="A51" s="24">
        <v>27.0</v>
      </c>
      <c r="B51" s="26"/>
      <c r="C51" s="139"/>
      <c r="D51" s="1"/>
    </row>
    <row r="52" ht="14.25" customHeight="1">
      <c r="A52" s="24">
        <v>28.0</v>
      </c>
      <c r="B52" s="26"/>
      <c r="C52" s="139"/>
      <c r="D52" s="1"/>
    </row>
    <row r="53" ht="14.25" customHeight="1">
      <c r="A53" s="24">
        <v>29.0</v>
      </c>
      <c r="B53" s="26"/>
      <c r="C53" s="139"/>
      <c r="D53" s="1"/>
    </row>
    <row r="54" ht="14.25" customHeight="1">
      <c r="A54" s="24">
        <v>30.0</v>
      </c>
      <c r="B54" s="26"/>
      <c r="C54" s="139"/>
      <c r="D54" s="1"/>
    </row>
    <row r="55" ht="14.25" customHeight="1">
      <c r="A55" s="24">
        <v>31.0</v>
      </c>
      <c r="B55" s="26"/>
      <c r="C55" s="139"/>
      <c r="D55" s="1"/>
    </row>
    <row r="56" ht="14.25" customHeight="1">
      <c r="A56" s="24">
        <v>32.0</v>
      </c>
      <c r="B56" s="26"/>
      <c r="C56" s="139"/>
      <c r="D56" s="1"/>
    </row>
    <row r="57" ht="14.25" customHeight="1">
      <c r="A57" s="24"/>
      <c r="B57" s="157"/>
      <c r="C57" s="139"/>
      <c r="D57" s="1"/>
    </row>
    <row r="58" ht="12.75" customHeight="1">
      <c r="B58" s="181" t="s">
        <v>36</v>
      </c>
      <c r="C58" s="139"/>
      <c r="D58" s="1"/>
    </row>
    <row r="59" ht="20.25" customHeight="1">
      <c r="B59" s="1"/>
      <c r="C59" s="1"/>
      <c r="D59" s="1"/>
    </row>
    <row r="60" ht="20.25" customHeight="1">
      <c r="B60" s="24"/>
      <c r="C60" s="1"/>
      <c r="D60" s="1"/>
    </row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0">
    <mergeCell ref="B2:B4"/>
    <mergeCell ref="C2:D4"/>
    <mergeCell ref="C5:D5"/>
    <mergeCell ref="C6:D6"/>
    <mergeCell ref="C7:D7"/>
    <mergeCell ref="C8:D8"/>
    <mergeCell ref="C9:D9"/>
    <mergeCell ref="F13:G16"/>
    <mergeCell ref="F17:G17"/>
    <mergeCell ref="F18:G18"/>
    <mergeCell ref="F19:G19"/>
    <mergeCell ref="F20:G20"/>
    <mergeCell ref="F21:G21"/>
    <mergeCell ref="C10:D10"/>
    <mergeCell ref="C11:D11"/>
    <mergeCell ref="B12:D12"/>
    <mergeCell ref="C13:D13"/>
    <mergeCell ref="C14:D14"/>
    <mergeCell ref="C16:D16"/>
    <mergeCell ref="C17:D17"/>
  </mergeCells>
  <printOptions/>
  <pageMargins bottom="0.75" footer="0.0" header="0.0" left="0.7" right="0.7" top="0.75"/>
  <pageSetup fitToHeight="0" paperSize="9" orientation="portrait"/>
  <headerFooter>
    <oddFooter>&amp;LAnexo 2 - MS- 0028921_Rev.04 - Diâmetro interno.&amp;RPágina &amp;P de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showGridLines="0" workbookViewId="0"/>
  </sheetViews>
  <sheetFormatPr customHeight="1" defaultColWidth="14.43" defaultRowHeight="15.0"/>
  <cols>
    <col customWidth="1" min="1" max="1" width="8.71"/>
    <col customWidth="1" min="2" max="2" width="5.71"/>
    <col customWidth="1" min="3" max="3" width="25.71"/>
    <col customWidth="1" min="4" max="4" width="21.57"/>
    <col customWidth="1" min="5" max="5" width="22.43"/>
    <col customWidth="1" min="6" max="6" width="23.57"/>
    <col customWidth="1" min="7" max="7" width="23.71"/>
    <col customWidth="1" min="8" max="8" width="22.43"/>
    <col customWidth="1" min="9" max="9" width="21.57"/>
    <col customWidth="1" min="10" max="10" width="18.71"/>
    <col customWidth="1" min="11" max="26" width="8.71"/>
  </cols>
  <sheetData>
    <row r="1" ht="14.25" customHeight="1">
      <c r="B1" s="24"/>
    </row>
    <row r="2" ht="23.25" customHeight="1">
      <c r="B2" s="24"/>
      <c r="C2" s="182"/>
      <c r="D2" s="149" t="s">
        <v>145</v>
      </c>
      <c r="E2" s="53"/>
      <c r="F2" s="53"/>
      <c r="G2" s="53"/>
      <c r="H2" s="4"/>
    </row>
    <row r="3" ht="14.25" customHeight="1">
      <c r="B3" s="24"/>
      <c r="C3" s="183"/>
      <c r="D3" s="6"/>
      <c r="H3" s="7"/>
    </row>
    <row r="4" ht="14.25" customHeight="1">
      <c r="B4" s="24"/>
      <c r="C4" s="183"/>
      <c r="D4" s="6"/>
      <c r="H4" s="7"/>
    </row>
    <row r="5" ht="15.0" customHeight="1">
      <c r="B5" s="24"/>
      <c r="C5" s="183"/>
      <c r="D5" s="184"/>
      <c r="E5" s="185"/>
      <c r="F5" s="185"/>
      <c r="G5" s="185"/>
      <c r="H5" s="186"/>
    </row>
    <row r="6" ht="14.25" customHeight="1">
      <c r="B6" s="24"/>
      <c r="C6" s="21" t="s">
        <v>1</v>
      </c>
      <c r="D6" s="12"/>
      <c r="E6" s="18"/>
      <c r="F6" s="18"/>
      <c r="G6" s="18"/>
      <c r="H6" s="13"/>
    </row>
    <row r="7" ht="14.25" customHeight="1">
      <c r="B7" s="24"/>
      <c r="C7" s="21" t="s">
        <v>2</v>
      </c>
      <c r="D7" s="14"/>
      <c r="E7" s="18"/>
      <c r="F7" s="18"/>
      <c r="G7" s="18"/>
      <c r="H7" s="13"/>
    </row>
    <row r="8" ht="14.25" customHeight="1">
      <c r="B8" s="24"/>
      <c r="C8" s="21" t="s">
        <v>3</v>
      </c>
      <c r="D8" s="14" t="s">
        <v>146</v>
      </c>
      <c r="E8" s="18"/>
      <c r="F8" s="18"/>
      <c r="G8" s="18"/>
      <c r="H8" s="13"/>
    </row>
    <row r="9" ht="14.25" customHeight="1">
      <c r="B9" s="24"/>
      <c r="C9" s="21" t="s">
        <v>5</v>
      </c>
      <c r="D9" s="14"/>
      <c r="E9" s="18"/>
      <c r="F9" s="18"/>
      <c r="G9" s="18"/>
      <c r="H9" s="13"/>
    </row>
    <row r="10" ht="14.25" customHeight="1">
      <c r="B10" s="24"/>
      <c r="C10" s="21" t="s">
        <v>6</v>
      </c>
      <c r="D10" s="14" t="s">
        <v>7</v>
      </c>
      <c r="E10" s="18"/>
      <c r="F10" s="18"/>
      <c r="G10" s="18"/>
      <c r="H10" s="13"/>
    </row>
    <row r="11" ht="14.25" customHeight="1">
      <c r="B11" s="24"/>
      <c r="C11" s="21" t="s">
        <v>8</v>
      </c>
      <c r="D11" s="21"/>
      <c r="E11" s="18"/>
      <c r="F11" s="18"/>
      <c r="G11" s="18"/>
      <c r="H11" s="13"/>
    </row>
    <row r="12" ht="14.25" customHeight="1">
      <c r="B12" s="24"/>
      <c r="C12" s="187" t="s">
        <v>9</v>
      </c>
      <c r="D12" s="128"/>
      <c r="E12" s="18"/>
      <c r="F12" s="18"/>
      <c r="G12" s="18"/>
      <c r="H12" s="13"/>
    </row>
    <row r="13" ht="14.25" customHeight="1">
      <c r="B13" s="24"/>
      <c r="C13" s="66" t="s">
        <v>58</v>
      </c>
      <c r="D13" s="18"/>
      <c r="E13" s="18"/>
      <c r="F13" s="18"/>
      <c r="G13" s="18"/>
      <c r="H13" s="13"/>
    </row>
    <row r="14" ht="14.25" customHeight="1">
      <c r="B14" s="24"/>
      <c r="C14" s="188" t="s">
        <v>11</v>
      </c>
      <c r="D14" s="189" t="s">
        <v>147</v>
      </c>
      <c r="E14" s="53"/>
      <c r="F14" s="53"/>
      <c r="G14" s="53"/>
      <c r="H14" s="4"/>
    </row>
    <row r="15" ht="25.5" customHeight="1">
      <c r="B15" s="24"/>
      <c r="C15" s="8"/>
      <c r="D15" s="9"/>
      <c r="E15" s="55"/>
      <c r="F15" s="55"/>
      <c r="G15" s="55"/>
      <c r="H15" s="10"/>
    </row>
    <row r="16" ht="14.25" customHeight="1">
      <c r="B16" s="24"/>
      <c r="C16" s="11" t="s">
        <v>13</v>
      </c>
      <c r="D16" s="20"/>
      <c r="E16" s="18"/>
      <c r="F16" s="18"/>
      <c r="G16" s="18"/>
      <c r="H16" s="13"/>
    </row>
    <row r="17" ht="14.25" customHeight="1">
      <c r="B17" s="24"/>
      <c r="C17" s="11" t="s">
        <v>14</v>
      </c>
      <c r="D17" s="21" t="s">
        <v>15</v>
      </c>
      <c r="E17" s="13"/>
      <c r="F17" s="14" t="s">
        <v>60</v>
      </c>
      <c r="G17" s="18"/>
      <c r="H17" s="13"/>
    </row>
    <row r="18" ht="9.75" customHeight="1">
      <c r="B18" s="24"/>
      <c r="C18" s="130"/>
      <c r="D18" s="130"/>
      <c r="E18" s="130"/>
      <c r="F18" s="130"/>
      <c r="G18" s="190"/>
    </row>
    <row r="19" ht="14.25" customHeight="1">
      <c r="B19" s="24"/>
      <c r="C19" s="191" t="s">
        <v>148</v>
      </c>
      <c r="D19" s="18"/>
      <c r="E19" s="18"/>
      <c r="F19" s="18"/>
      <c r="G19" s="192"/>
      <c r="H19" s="193"/>
    </row>
    <row r="20" ht="14.25" customHeight="1">
      <c r="B20" s="24"/>
      <c r="C20" s="194" t="s">
        <v>149</v>
      </c>
      <c r="D20" s="194" t="s">
        <v>150</v>
      </c>
      <c r="E20" s="194" t="s">
        <v>151</v>
      </c>
      <c r="F20" s="194" t="s">
        <v>152</v>
      </c>
      <c r="G20" s="194" t="s">
        <v>153</v>
      </c>
      <c r="H20" s="195" t="s">
        <v>154</v>
      </c>
    </row>
    <row r="21" ht="17.25" customHeight="1">
      <c r="B21" s="24">
        <v>1.0</v>
      </c>
      <c r="C21" s="71"/>
      <c r="D21" s="71"/>
      <c r="E21" s="71"/>
      <c r="F21" s="71"/>
      <c r="G21" s="71"/>
      <c r="H21" s="195"/>
    </row>
    <row r="22" ht="14.25" customHeight="1">
      <c r="B22" s="24">
        <v>2.0</v>
      </c>
      <c r="C22" s="71"/>
      <c r="D22" s="71"/>
      <c r="E22" s="71"/>
      <c r="F22" s="71"/>
      <c r="G22" s="196"/>
      <c r="H22" s="197"/>
    </row>
    <row r="23" ht="14.25" customHeight="1">
      <c r="B23" s="24">
        <v>3.0</v>
      </c>
      <c r="C23" s="71"/>
      <c r="D23" s="71"/>
      <c r="E23" s="71"/>
      <c r="F23" s="71"/>
      <c r="G23" s="196"/>
      <c r="H23" s="197"/>
    </row>
    <row r="24" ht="14.25" customHeight="1">
      <c r="B24" s="24">
        <v>4.0</v>
      </c>
      <c r="C24" s="71"/>
      <c r="D24" s="71"/>
      <c r="E24" s="71"/>
      <c r="F24" s="71"/>
      <c r="G24" s="196"/>
      <c r="H24" s="198"/>
    </row>
    <row r="25" ht="14.25" customHeight="1">
      <c r="B25" s="24">
        <v>5.0</v>
      </c>
      <c r="C25" s="71"/>
      <c r="D25" s="71"/>
      <c r="E25" s="71"/>
      <c r="F25" s="71"/>
      <c r="G25" s="196"/>
      <c r="H25" s="198"/>
    </row>
    <row r="26" ht="14.25" customHeight="1">
      <c r="B26" s="24">
        <v>6.0</v>
      </c>
      <c r="C26" s="71"/>
      <c r="D26" s="71"/>
      <c r="E26" s="71"/>
      <c r="F26" s="71"/>
      <c r="G26" s="196"/>
      <c r="H26" s="198"/>
    </row>
    <row r="27" ht="14.25" customHeight="1">
      <c r="B27" s="24">
        <v>7.0</v>
      </c>
      <c r="C27" s="71"/>
      <c r="D27" s="71"/>
      <c r="E27" s="71"/>
      <c r="F27" s="71"/>
      <c r="G27" s="196"/>
      <c r="H27" s="198"/>
    </row>
    <row r="28" ht="14.25" customHeight="1">
      <c r="B28" s="24">
        <v>8.0</v>
      </c>
      <c r="C28" s="71"/>
      <c r="D28" s="71"/>
      <c r="E28" s="71"/>
      <c r="F28" s="71"/>
      <c r="G28" s="196"/>
      <c r="H28" s="198"/>
    </row>
    <row r="29" ht="14.25" customHeight="1">
      <c r="B29" s="24">
        <v>9.0</v>
      </c>
      <c r="C29" s="71"/>
      <c r="D29" s="71"/>
      <c r="E29" s="71"/>
      <c r="F29" s="71"/>
      <c r="G29" s="196"/>
      <c r="H29" s="198"/>
    </row>
    <row r="30" ht="14.25" customHeight="1">
      <c r="B30" s="24">
        <v>10.0</v>
      </c>
      <c r="C30" s="71"/>
      <c r="D30" s="71"/>
      <c r="E30" s="71"/>
      <c r="F30" s="71"/>
      <c r="G30" s="196"/>
      <c r="H30" s="198"/>
    </row>
    <row r="31" ht="14.25" customHeight="1">
      <c r="B31" s="24">
        <v>11.0</v>
      </c>
      <c r="C31" s="71"/>
      <c r="D31" s="71"/>
      <c r="E31" s="71"/>
      <c r="F31" s="71"/>
      <c r="G31" s="196"/>
      <c r="H31" s="198"/>
    </row>
    <row r="32" ht="14.25" customHeight="1">
      <c r="B32" s="24">
        <v>12.0</v>
      </c>
      <c r="C32" s="71"/>
      <c r="D32" s="71"/>
      <c r="E32" s="71"/>
      <c r="F32" s="71"/>
      <c r="G32" s="196"/>
      <c r="H32" s="198"/>
    </row>
    <row r="33" ht="14.25" customHeight="1">
      <c r="B33" s="24">
        <v>13.0</v>
      </c>
      <c r="C33" s="71"/>
      <c r="D33" s="71"/>
      <c r="E33" s="71"/>
      <c r="F33" s="71"/>
      <c r="G33" s="196"/>
      <c r="H33" s="102"/>
    </row>
    <row r="34" ht="14.25" customHeight="1">
      <c r="B34" s="24">
        <v>14.0</v>
      </c>
      <c r="C34" s="71"/>
      <c r="D34" s="71"/>
      <c r="E34" s="71"/>
      <c r="F34" s="71"/>
      <c r="G34" s="196"/>
      <c r="H34" s="102"/>
    </row>
    <row r="35" ht="14.25" customHeight="1">
      <c r="B35" s="24">
        <v>15.0</v>
      </c>
      <c r="C35" s="71"/>
      <c r="D35" s="71"/>
      <c r="E35" s="71"/>
      <c r="F35" s="71"/>
      <c r="G35" s="196"/>
      <c r="H35" s="102"/>
    </row>
    <row r="36" ht="14.25" customHeight="1">
      <c r="B36" s="24">
        <v>16.0</v>
      </c>
      <c r="C36" s="71"/>
      <c r="D36" s="71"/>
      <c r="E36" s="71"/>
      <c r="F36" s="71"/>
      <c r="G36" s="199"/>
      <c r="H36" s="195"/>
    </row>
    <row r="37" ht="14.25" customHeight="1">
      <c r="B37" s="24">
        <v>17.0</v>
      </c>
      <c r="C37" s="71"/>
      <c r="D37" s="71"/>
      <c r="E37" s="71"/>
      <c r="F37" s="71"/>
      <c r="G37" s="196"/>
      <c r="H37" s="198"/>
    </row>
    <row r="38" ht="14.25" customHeight="1">
      <c r="B38" s="24">
        <v>18.0</v>
      </c>
      <c r="C38" s="71"/>
      <c r="D38" s="71"/>
      <c r="E38" s="71"/>
      <c r="F38" s="71"/>
      <c r="G38" s="196"/>
      <c r="H38" s="198"/>
    </row>
    <row r="39" ht="14.25" customHeight="1">
      <c r="B39" s="24">
        <v>19.0</v>
      </c>
      <c r="C39" s="71"/>
      <c r="D39" s="71"/>
      <c r="E39" s="71"/>
      <c r="F39" s="71"/>
      <c r="G39" s="196"/>
      <c r="H39" s="198"/>
    </row>
    <row r="40" ht="14.25" customHeight="1">
      <c r="B40" s="24">
        <v>20.0</v>
      </c>
      <c r="C40" s="71"/>
      <c r="D40" s="71"/>
      <c r="E40" s="71"/>
      <c r="F40" s="71"/>
      <c r="G40" s="196"/>
      <c r="H40" s="198"/>
    </row>
    <row r="41" ht="15.0" customHeight="1">
      <c r="B41" s="24">
        <v>21.0</v>
      </c>
      <c r="C41" s="71"/>
      <c r="D41" s="71"/>
      <c r="E41" s="71"/>
      <c r="F41" s="71"/>
      <c r="G41" s="196"/>
      <c r="H41" s="198"/>
    </row>
    <row r="42" ht="14.25" customHeight="1">
      <c r="B42" s="24">
        <v>22.0</v>
      </c>
      <c r="C42" s="71"/>
      <c r="D42" s="71"/>
      <c r="E42" s="71"/>
      <c r="F42" s="71"/>
      <c r="G42" s="196"/>
      <c r="H42" s="198"/>
    </row>
    <row r="43" ht="14.25" customHeight="1">
      <c r="B43" s="24">
        <v>23.0</v>
      </c>
      <c r="C43" s="71"/>
      <c r="D43" s="71"/>
      <c r="E43" s="71"/>
      <c r="F43" s="71"/>
      <c r="G43" s="196"/>
      <c r="H43" s="198"/>
    </row>
    <row r="44" ht="14.25" customHeight="1">
      <c r="B44" s="24">
        <v>24.0</v>
      </c>
      <c r="C44" s="71"/>
      <c r="D44" s="71"/>
      <c r="E44" s="71"/>
      <c r="F44" s="71"/>
      <c r="G44" s="196"/>
      <c r="H44" s="198"/>
    </row>
    <row r="45" ht="14.25" customHeight="1">
      <c r="B45" s="24">
        <v>25.0</v>
      </c>
      <c r="C45" s="71"/>
      <c r="D45" s="71"/>
      <c r="E45" s="71"/>
      <c r="F45" s="71"/>
      <c r="G45" s="196"/>
      <c r="H45" s="198"/>
    </row>
    <row r="46" ht="14.25" customHeight="1">
      <c r="B46" s="24">
        <v>26.0</v>
      </c>
      <c r="C46" s="71"/>
      <c r="D46" s="71"/>
      <c r="E46" s="71"/>
      <c r="F46" s="71"/>
      <c r="G46" s="196"/>
      <c r="H46" s="198"/>
    </row>
    <row r="47" ht="14.25" customHeight="1">
      <c r="B47" s="24">
        <v>27.0</v>
      </c>
      <c r="C47" s="71"/>
      <c r="D47" s="71"/>
      <c r="E47" s="71"/>
      <c r="F47" s="71"/>
      <c r="G47" s="196"/>
      <c r="H47" s="198"/>
    </row>
    <row r="48" ht="14.25" customHeight="1">
      <c r="B48" s="24">
        <v>28.0</v>
      </c>
      <c r="C48" s="71"/>
      <c r="D48" s="71"/>
      <c r="E48" s="71"/>
      <c r="F48" s="71"/>
      <c r="G48" s="196"/>
      <c r="H48" s="102"/>
    </row>
    <row r="49" ht="14.25" customHeight="1">
      <c r="B49" s="24">
        <v>29.0</v>
      </c>
      <c r="C49" s="71"/>
      <c r="D49" s="71"/>
      <c r="E49" s="71"/>
      <c r="F49" s="71"/>
      <c r="G49" s="196"/>
      <c r="H49" s="102"/>
    </row>
    <row r="50" ht="14.25" customHeight="1">
      <c r="B50" s="24">
        <v>30.0</v>
      </c>
      <c r="C50" s="71"/>
      <c r="D50" s="71"/>
      <c r="E50" s="71"/>
      <c r="F50" s="71"/>
      <c r="G50" s="196"/>
      <c r="H50" s="102"/>
    </row>
    <row r="51" ht="14.25" customHeight="1">
      <c r="B51" s="24">
        <v>31.0</v>
      </c>
      <c r="C51" s="71"/>
      <c r="D51" s="71"/>
      <c r="E51" s="71"/>
      <c r="F51" s="71"/>
      <c r="G51" s="119"/>
      <c r="H51" s="102"/>
    </row>
    <row r="52" ht="14.25" customHeight="1">
      <c r="B52" s="24">
        <v>32.0</v>
      </c>
      <c r="C52" s="200"/>
      <c r="D52" s="200"/>
      <c r="E52" s="71"/>
      <c r="F52" s="71"/>
      <c r="G52" s="119"/>
      <c r="H52" s="102"/>
    </row>
    <row r="53" ht="14.25" customHeight="1">
      <c r="B53" s="24"/>
      <c r="C53" s="201"/>
      <c r="D53" s="201"/>
      <c r="E53" s="44"/>
      <c r="F53" s="44"/>
      <c r="G53" s="202"/>
      <c r="H53" s="161"/>
    </row>
    <row r="54" ht="14.25" customHeight="1">
      <c r="B54" s="24"/>
      <c r="C54" s="141" t="s">
        <v>155</v>
      </c>
      <c r="D54" s="55"/>
      <c r="E54" s="1"/>
      <c r="F54" s="1"/>
      <c r="G54" s="202"/>
      <c r="H54" s="93"/>
    </row>
    <row r="55" ht="14.25" customHeight="1">
      <c r="B55" s="70"/>
      <c r="C55" s="161"/>
      <c r="D55" s="161"/>
      <c r="E55" s="161"/>
      <c r="F55" s="161"/>
      <c r="G55" s="161"/>
      <c r="H55" s="161"/>
    </row>
    <row r="56" ht="23.25" customHeight="1">
      <c r="B56" s="70"/>
      <c r="C56" s="203"/>
      <c r="D56" s="80"/>
      <c r="E56" s="204"/>
      <c r="F56" s="204"/>
      <c r="G56" s="204"/>
      <c r="H56" s="204"/>
    </row>
    <row r="57" ht="14.25" customHeight="1">
      <c r="B57" s="24"/>
      <c r="C57" s="182"/>
      <c r="D57" s="149" t="s">
        <v>156</v>
      </c>
      <c r="E57" s="53"/>
      <c r="F57" s="53"/>
      <c r="G57" s="53"/>
      <c r="H57" s="4"/>
      <c r="I57" s="91"/>
    </row>
    <row r="58" ht="14.25" customHeight="1">
      <c r="B58" s="24"/>
      <c r="C58" s="183"/>
      <c r="D58" s="6"/>
      <c r="H58" s="7"/>
      <c r="I58" s="91"/>
    </row>
    <row r="59" ht="14.25" customHeight="1">
      <c r="B59" s="24"/>
      <c r="C59" s="183"/>
      <c r="D59" s="6"/>
      <c r="H59" s="7"/>
      <c r="I59" s="91"/>
    </row>
    <row r="60" ht="14.25" customHeight="1">
      <c r="B60" s="24"/>
      <c r="C60" s="183"/>
      <c r="D60" s="184"/>
      <c r="E60" s="185"/>
      <c r="F60" s="185"/>
      <c r="G60" s="185"/>
      <c r="H60" s="186"/>
      <c r="I60" s="91"/>
    </row>
    <row r="61" ht="14.25" customHeight="1">
      <c r="B61" s="24"/>
      <c r="C61" s="21" t="s">
        <v>1</v>
      </c>
      <c r="D61" s="12"/>
      <c r="E61" s="18"/>
      <c r="F61" s="18"/>
      <c r="G61" s="18"/>
      <c r="H61" s="13"/>
      <c r="I61" s="92"/>
    </row>
    <row r="62" ht="14.25" customHeight="1">
      <c r="B62" s="24"/>
      <c r="C62" s="21" t="s">
        <v>2</v>
      </c>
      <c r="D62" s="14"/>
      <c r="E62" s="18"/>
      <c r="F62" s="18"/>
      <c r="G62" s="18"/>
      <c r="H62" s="13"/>
      <c r="I62" s="93"/>
    </row>
    <row r="63" ht="14.25" customHeight="1">
      <c r="B63" s="24"/>
      <c r="C63" s="21" t="s">
        <v>3</v>
      </c>
      <c r="D63" s="14" t="s">
        <v>157</v>
      </c>
      <c r="E63" s="18"/>
      <c r="F63" s="18"/>
      <c r="G63" s="18"/>
      <c r="H63" s="13"/>
      <c r="I63" s="93"/>
    </row>
    <row r="64" ht="14.25" customHeight="1">
      <c r="B64" s="24"/>
      <c r="C64" s="21" t="s">
        <v>5</v>
      </c>
      <c r="D64" s="14"/>
      <c r="E64" s="18"/>
      <c r="F64" s="18"/>
      <c r="G64" s="18"/>
      <c r="H64" s="13"/>
      <c r="I64" s="93"/>
    </row>
    <row r="65" ht="14.25" customHeight="1">
      <c r="B65" s="24"/>
      <c r="C65" s="21" t="s">
        <v>6</v>
      </c>
      <c r="D65" s="14" t="s">
        <v>7</v>
      </c>
      <c r="E65" s="18"/>
      <c r="F65" s="18"/>
      <c r="G65" s="18"/>
      <c r="H65" s="13"/>
      <c r="I65" s="93"/>
    </row>
    <row r="66" ht="14.25" customHeight="1">
      <c r="B66" s="24"/>
      <c r="C66" s="21" t="s">
        <v>8</v>
      </c>
      <c r="D66" s="21"/>
      <c r="E66" s="18"/>
      <c r="F66" s="18"/>
      <c r="G66" s="18"/>
      <c r="H66" s="13"/>
      <c r="I66" s="93"/>
    </row>
    <row r="67" ht="14.25" customHeight="1">
      <c r="B67" s="24"/>
      <c r="C67" s="187" t="s">
        <v>9</v>
      </c>
      <c r="D67" s="14"/>
      <c r="E67" s="18"/>
      <c r="F67" s="18"/>
      <c r="G67" s="18"/>
      <c r="H67" s="13"/>
      <c r="I67" s="93"/>
    </row>
    <row r="68" ht="14.25" customHeight="1">
      <c r="B68" s="24"/>
      <c r="C68" s="66" t="s">
        <v>58</v>
      </c>
      <c r="D68" s="18"/>
      <c r="E68" s="18"/>
      <c r="F68" s="18"/>
      <c r="G68" s="18"/>
      <c r="H68" s="13"/>
      <c r="I68" s="98"/>
    </row>
    <row r="69" ht="14.25" customHeight="1">
      <c r="B69" s="24"/>
      <c r="C69" s="188" t="s">
        <v>11</v>
      </c>
      <c r="D69" s="189" t="s">
        <v>158</v>
      </c>
      <c r="E69" s="53"/>
      <c r="F69" s="53"/>
      <c r="G69" s="53"/>
      <c r="H69" s="4"/>
      <c r="I69" s="93"/>
    </row>
    <row r="70" ht="14.25" customHeight="1">
      <c r="B70" s="24"/>
      <c r="C70" s="8"/>
      <c r="D70" s="9"/>
      <c r="E70" s="55"/>
      <c r="F70" s="55"/>
      <c r="G70" s="55"/>
      <c r="H70" s="10"/>
      <c r="I70" s="93"/>
    </row>
    <row r="71" ht="14.25" customHeight="1">
      <c r="B71" s="24"/>
      <c r="C71" s="11" t="s">
        <v>13</v>
      </c>
      <c r="D71" s="14"/>
      <c r="E71" s="18"/>
      <c r="F71" s="18"/>
      <c r="G71" s="18"/>
      <c r="H71" s="13"/>
      <c r="I71" s="93"/>
    </row>
    <row r="72" ht="14.25" customHeight="1">
      <c r="B72" s="24"/>
      <c r="C72" s="11" t="s">
        <v>14</v>
      </c>
      <c r="D72" s="21" t="s">
        <v>159</v>
      </c>
      <c r="E72" s="13"/>
      <c r="F72" s="14" t="s">
        <v>160</v>
      </c>
      <c r="G72" s="18"/>
      <c r="H72" s="13"/>
      <c r="I72" s="93"/>
    </row>
    <row r="73" ht="14.25" customHeight="1">
      <c r="B73" s="24"/>
      <c r="C73" s="1"/>
      <c r="D73" s="1"/>
      <c r="E73" s="1"/>
      <c r="F73" s="1"/>
      <c r="G73" s="202"/>
      <c r="H73" s="93"/>
    </row>
    <row r="74" ht="14.25" customHeight="1">
      <c r="B74" s="24"/>
      <c r="C74" s="191" t="s">
        <v>161</v>
      </c>
      <c r="D74" s="18"/>
      <c r="E74" s="18"/>
      <c r="F74" s="18"/>
      <c r="G74" s="18"/>
      <c r="H74" s="18"/>
      <c r="I74" s="192"/>
      <c r="J74" s="193"/>
    </row>
    <row r="75" ht="14.25" customHeight="1">
      <c r="B75" s="24"/>
      <c r="C75" s="194" t="s">
        <v>162</v>
      </c>
      <c r="D75" s="194" t="s">
        <v>163</v>
      </c>
      <c r="E75" s="194" t="s">
        <v>164</v>
      </c>
      <c r="F75" s="194" t="s">
        <v>165</v>
      </c>
      <c r="G75" s="194" t="s">
        <v>166</v>
      </c>
      <c r="H75" s="194" t="s">
        <v>167</v>
      </c>
      <c r="I75" s="194" t="s">
        <v>153</v>
      </c>
      <c r="J75" s="194" t="s">
        <v>168</v>
      </c>
    </row>
    <row r="76" ht="14.25" customHeight="1">
      <c r="B76" s="24">
        <v>1.0</v>
      </c>
      <c r="C76" s="11"/>
      <c r="D76" s="11"/>
      <c r="E76" s="11"/>
      <c r="F76" s="11"/>
      <c r="G76" s="11"/>
      <c r="H76" s="11"/>
      <c r="I76" s="71"/>
      <c r="J76" s="102"/>
    </row>
    <row r="77" ht="14.25" customHeight="1">
      <c r="B77" s="24">
        <v>2.0</v>
      </c>
      <c r="C77" s="11"/>
      <c r="D77" s="11"/>
      <c r="E77" s="11"/>
      <c r="F77" s="11"/>
      <c r="G77" s="11"/>
      <c r="H77" s="11"/>
      <c r="I77" s="196"/>
      <c r="J77" s="102"/>
    </row>
    <row r="78" ht="14.25" customHeight="1">
      <c r="B78" s="24">
        <v>3.0</v>
      </c>
      <c r="C78" s="11"/>
      <c r="D78" s="11"/>
      <c r="E78" s="11"/>
      <c r="F78" s="11"/>
      <c r="G78" s="11"/>
      <c r="H78" s="11"/>
      <c r="I78" s="196"/>
      <c r="J78" s="102"/>
    </row>
    <row r="79" ht="14.25" customHeight="1">
      <c r="B79" s="24">
        <v>4.0</v>
      </c>
      <c r="C79" s="11"/>
      <c r="D79" s="11"/>
      <c r="E79" s="11"/>
      <c r="F79" s="11"/>
      <c r="G79" s="11"/>
      <c r="H79" s="11"/>
      <c r="I79" s="196"/>
      <c r="J79" s="102"/>
    </row>
    <row r="80" ht="14.25" customHeight="1">
      <c r="B80" s="24">
        <v>5.0</v>
      </c>
      <c r="C80" s="11"/>
      <c r="D80" s="11"/>
      <c r="E80" s="11"/>
      <c r="F80" s="11"/>
      <c r="G80" s="11"/>
      <c r="H80" s="11"/>
      <c r="I80" s="196"/>
      <c r="J80" s="102"/>
    </row>
    <row r="81" ht="14.25" customHeight="1">
      <c r="B81" s="24">
        <v>6.0</v>
      </c>
      <c r="C81" s="11"/>
      <c r="D81" s="11"/>
      <c r="E81" s="11"/>
      <c r="F81" s="11"/>
      <c r="G81" s="11"/>
      <c r="H81" s="11"/>
      <c r="I81" s="196"/>
      <c r="J81" s="102"/>
    </row>
    <row r="82" ht="14.25" customHeight="1">
      <c r="B82" s="24">
        <v>7.0</v>
      </c>
      <c r="C82" s="11"/>
      <c r="D82" s="11"/>
      <c r="E82" s="11"/>
      <c r="F82" s="11"/>
      <c r="G82" s="11"/>
      <c r="H82" s="11"/>
      <c r="I82" s="196"/>
      <c r="J82" s="102"/>
    </row>
    <row r="83" ht="14.25" customHeight="1">
      <c r="B83" s="24">
        <v>8.0</v>
      </c>
      <c r="C83" s="11"/>
      <c r="D83" s="11"/>
      <c r="E83" s="11"/>
      <c r="F83" s="11"/>
      <c r="G83" s="11"/>
      <c r="H83" s="11"/>
      <c r="I83" s="196"/>
      <c r="J83" s="102"/>
    </row>
    <row r="84" ht="14.25" customHeight="1">
      <c r="B84" s="24">
        <v>9.0</v>
      </c>
      <c r="C84" s="11"/>
      <c r="D84" s="11"/>
      <c r="E84" s="11"/>
      <c r="F84" s="11"/>
      <c r="G84" s="11"/>
      <c r="H84" s="11"/>
      <c r="I84" s="196"/>
      <c r="J84" s="102"/>
    </row>
    <row r="85" ht="14.25" customHeight="1">
      <c r="B85" s="24">
        <v>10.0</v>
      </c>
      <c r="C85" s="11"/>
      <c r="D85" s="11"/>
      <c r="E85" s="11"/>
      <c r="F85" s="11"/>
      <c r="G85" s="11"/>
      <c r="H85" s="11"/>
      <c r="I85" s="196"/>
      <c r="J85" s="102"/>
    </row>
    <row r="86" ht="14.25" customHeight="1">
      <c r="B86" s="24">
        <v>11.0</v>
      </c>
      <c r="C86" s="11"/>
      <c r="D86" s="11"/>
      <c r="E86" s="11"/>
      <c r="F86" s="11"/>
      <c r="G86" s="11"/>
      <c r="H86" s="11"/>
      <c r="I86" s="196"/>
      <c r="J86" s="102"/>
    </row>
    <row r="87" ht="14.25" customHeight="1">
      <c r="B87" s="24">
        <v>12.0</v>
      </c>
      <c r="C87" s="11"/>
      <c r="D87" s="11"/>
      <c r="E87" s="11"/>
      <c r="F87" s="11"/>
      <c r="G87" s="11"/>
      <c r="H87" s="11"/>
      <c r="I87" s="196"/>
      <c r="J87" s="102"/>
    </row>
    <row r="88" ht="14.25" customHeight="1">
      <c r="B88" s="24">
        <v>13.0</v>
      </c>
      <c r="C88" s="11"/>
      <c r="D88" s="11"/>
      <c r="E88" s="11"/>
      <c r="F88" s="11"/>
      <c r="G88" s="11"/>
      <c r="H88" s="11"/>
      <c r="I88" s="196"/>
      <c r="J88" s="102"/>
    </row>
    <row r="89" ht="14.25" customHeight="1">
      <c r="B89" s="24">
        <v>14.0</v>
      </c>
      <c r="C89" s="11"/>
      <c r="D89" s="11"/>
      <c r="E89" s="11"/>
      <c r="F89" s="11"/>
      <c r="G89" s="11"/>
      <c r="H89" s="11"/>
      <c r="I89" s="196"/>
      <c r="J89" s="102"/>
    </row>
    <row r="90" ht="14.25" customHeight="1">
      <c r="B90" s="24">
        <v>15.0</v>
      </c>
      <c r="C90" s="11"/>
      <c r="D90" s="11"/>
      <c r="E90" s="11"/>
      <c r="F90" s="11"/>
      <c r="G90" s="11"/>
      <c r="H90" s="11"/>
      <c r="I90" s="196"/>
      <c r="J90" s="102"/>
    </row>
    <row r="91" ht="14.25" customHeight="1">
      <c r="B91" s="24">
        <v>16.0</v>
      </c>
      <c r="C91" s="11"/>
      <c r="D91" s="11"/>
      <c r="E91" s="11"/>
      <c r="F91" s="11"/>
      <c r="G91" s="11"/>
      <c r="H91" s="11"/>
      <c r="I91" s="199"/>
      <c r="J91" s="102"/>
    </row>
    <row r="92" ht="14.25" customHeight="1">
      <c r="B92" s="24">
        <v>17.0</v>
      </c>
      <c r="C92" s="11"/>
      <c r="D92" s="11"/>
      <c r="E92" s="11"/>
      <c r="F92" s="11"/>
      <c r="G92" s="11"/>
      <c r="H92" s="11"/>
      <c r="I92" s="196"/>
      <c r="J92" s="102"/>
    </row>
    <row r="93" ht="14.25" customHeight="1">
      <c r="B93" s="24">
        <v>18.0</v>
      </c>
      <c r="C93" s="11"/>
      <c r="D93" s="11"/>
      <c r="E93" s="11"/>
      <c r="F93" s="11"/>
      <c r="G93" s="11"/>
      <c r="H93" s="11"/>
      <c r="I93" s="196"/>
      <c r="J93" s="102"/>
    </row>
    <row r="94" ht="14.25" customHeight="1">
      <c r="B94" s="24">
        <v>19.0</v>
      </c>
      <c r="C94" s="11"/>
      <c r="D94" s="11"/>
      <c r="E94" s="11"/>
      <c r="F94" s="11"/>
      <c r="G94" s="11"/>
      <c r="H94" s="11"/>
      <c r="I94" s="196"/>
      <c r="J94" s="102"/>
    </row>
    <row r="95" ht="14.25" customHeight="1">
      <c r="B95" s="24">
        <v>20.0</v>
      </c>
      <c r="C95" s="11"/>
      <c r="D95" s="11"/>
      <c r="E95" s="11"/>
      <c r="F95" s="11"/>
      <c r="G95" s="11"/>
      <c r="H95" s="11"/>
      <c r="I95" s="196"/>
      <c r="J95" s="102"/>
    </row>
    <row r="96" ht="14.25" customHeight="1">
      <c r="B96" s="24">
        <v>21.0</v>
      </c>
      <c r="C96" s="11"/>
      <c r="D96" s="11"/>
      <c r="E96" s="11"/>
      <c r="F96" s="11"/>
      <c r="G96" s="11"/>
      <c r="H96" s="11"/>
      <c r="I96" s="196"/>
      <c r="J96" s="102"/>
    </row>
    <row r="97" ht="14.25" customHeight="1">
      <c r="B97" s="24">
        <v>22.0</v>
      </c>
      <c r="C97" s="11"/>
      <c r="D97" s="11"/>
      <c r="E97" s="11"/>
      <c r="F97" s="11"/>
      <c r="G97" s="11"/>
      <c r="H97" s="11"/>
      <c r="I97" s="196"/>
      <c r="J97" s="102"/>
    </row>
    <row r="98" ht="14.25" customHeight="1">
      <c r="B98" s="24">
        <v>23.0</v>
      </c>
      <c r="C98" s="11"/>
      <c r="D98" s="11"/>
      <c r="E98" s="11"/>
      <c r="F98" s="11"/>
      <c r="G98" s="11"/>
      <c r="H98" s="11"/>
      <c r="I98" s="196"/>
      <c r="J98" s="102"/>
    </row>
    <row r="99" ht="14.25" customHeight="1">
      <c r="B99" s="24">
        <v>24.0</v>
      </c>
      <c r="C99" s="11"/>
      <c r="D99" s="11"/>
      <c r="E99" s="11"/>
      <c r="F99" s="11"/>
      <c r="G99" s="11"/>
      <c r="H99" s="11"/>
      <c r="I99" s="196"/>
      <c r="J99" s="102"/>
    </row>
    <row r="100" ht="14.25" customHeight="1">
      <c r="B100" s="24">
        <v>25.0</v>
      </c>
      <c r="C100" s="11"/>
      <c r="D100" s="11"/>
      <c r="E100" s="11"/>
      <c r="F100" s="11"/>
      <c r="G100" s="11"/>
      <c r="H100" s="11"/>
      <c r="I100" s="196"/>
      <c r="J100" s="102"/>
    </row>
    <row r="101" ht="14.25" customHeight="1">
      <c r="B101" s="24">
        <v>26.0</v>
      </c>
      <c r="C101" s="11"/>
      <c r="D101" s="11"/>
      <c r="E101" s="11"/>
      <c r="F101" s="11"/>
      <c r="G101" s="11"/>
      <c r="H101" s="11"/>
      <c r="I101" s="196"/>
      <c r="J101" s="102"/>
    </row>
    <row r="102" ht="14.25" customHeight="1">
      <c r="B102" s="24">
        <v>27.0</v>
      </c>
      <c r="C102" s="11"/>
      <c r="D102" s="11"/>
      <c r="E102" s="11"/>
      <c r="F102" s="11"/>
      <c r="G102" s="11"/>
      <c r="H102" s="11"/>
      <c r="I102" s="196"/>
      <c r="J102" s="102"/>
    </row>
    <row r="103" ht="14.25" customHeight="1">
      <c r="B103" s="24">
        <v>28.0</v>
      </c>
      <c r="C103" s="11"/>
      <c r="D103" s="11"/>
      <c r="E103" s="11"/>
      <c r="F103" s="11"/>
      <c r="G103" s="11"/>
      <c r="H103" s="11"/>
      <c r="I103" s="196"/>
      <c r="J103" s="102"/>
    </row>
    <row r="104" ht="14.25" customHeight="1">
      <c r="B104" s="24">
        <v>29.0</v>
      </c>
      <c r="C104" s="11"/>
      <c r="D104" s="11"/>
      <c r="E104" s="11"/>
      <c r="F104" s="11"/>
      <c r="G104" s="11"/>
      <c r="H104" s="11"/>
      <c r="I104" s="196"/>
      <c r="J104" s="102"/>
    </row>
    <row r="105" ht="14.25" customHeight="1">
      <c r="B105" s="24">
        <v>30.0</v>
      </c>
      <c r="C105" s="11"/>
      <c r="D105" s="11"/>
      <c r="E105" s="11"/>
      <c r="F105" s="11"/>
      <c r="G105" s="11"/>
      <c r="H105" s="11"/>
      <c r="I105" s="196"/>
      <c r="J105" s="102"/>
    </row>
    <row r="106" ht="14.25" customHeight="1">
      <c r="B106" s="24">
        <v>31.0</v>
      </c>
      <c r="C106" s="11"/>
      <c r="D106" s="11"/>
      <c r="E106" s="11"/>
      <c r="F106" s="11"/>
      <c r="G106" s="11"/>
      <c r="H106" s="11"/>
      <c r="I106" s="119"/>
      <c r="J106" s="102"/>
    </row>
    <row r="107" ht="14.25" customHeight="1">
      <c r="B107" s="24">
        <v>32.0</v>
      </c>
      <c r="C107" s="11"/>
      <c r="D107" s="11"/>
      <c r="E107" s="11"/>
      <c r="F107" s="11"/>
      <c r="G107" s="11"/>
      <c r="H107" s="11"/>
      <c r="I107" s="119"/>
      <c r="J107" s="102"/>
    </row>
    <row r="108" ht="14.25" customHeight="1">
      <c r="B108" s="141" t="s">
        <v>169</v>
      </c>
      <c r="C108" s="55"/>
      <c r="D108" s="55"/>
      <c r="E108" s="205"/>
    </row>
    <row r="109" ht="14.25" customHeight="1">
      <c r="B109" s="24"/>
    </row>
    <row r="110" ht="14.25" customHeight="1">
      <c r="B110" s="24"/>
    </row>
    <row r="111" ht="14.25" customHeight="1">
      <c r="B111" s="24"/>
    </row>
    <row r="112" ht="14.25" customHeight="1">
      <c r="B112" s="24"/>
    </row>
    <row r="113" ht="14.25" customHeight="1">
      <c r="B113" s="24"/>
    </row>
    <row r="114" ht="14.25" customHeight="1">
      <c r="B114" s="24"/>
    </row>
    <row r="115" ht="14.25" customHeight="1">
      <c r="B115" s="24"/>
    </row>
    <row r="116" ht="14.25" customHeight="1">
      <c r="B116" s="24"/>
    </row>
    <row r="117" ht="14.25" customHeight="1">
      <c r="B117" s="24"/>
    </row>
    <row r="118" ht="14.25" customHeight="1">
      <c r="B118" s="24"/>
    </row>
    <row r="119" ht="14.25" customHeight="1">
      <c r="B119" s="24"/>
    </row>
    <row r="120" ht="14.25" customHeight="1">
      <c r="B120" s="24"/>
    </row>
    <row r="121" ht="14.25" customHeight="1">
      <c r="B121" s="24"/>
    </row>
    <row r="122" ht="14.25" customHeight="1">
      <c r="B122" s="24"/>
    </row>
    <row r="123" ht="14.25" customHeight="1">
      <c r="B123" s="24"/>
    </row>
    <row r="124" ht="14.25" customHeight="1">
      <c r="B124" s="24"/>
    </row>
    <row r="125" ht="14.25" customHeight="1">
      <c r="B125" s="24"/>
    </row>
    <row r="126" ht="14.25" customHeight="1">
      <c r="B126" s="24"/>
    </row>
    <row r="127" ht="14.25" customHeight="1">
      <c r="B127" s="24"/>
    </row>
    <row r="128" ht="14.25" customHeight="1">
      <c r="B128" s="24"/>
    </row>
    <row r="129" ht="14.25" customHeight="1">
      <c r="B129" s="24"/>
    </row>
    <row r="130" ht="14.25" customHeight="1">
      <c r="B130" s="24"/>
    </row>
    <row r="131" ht="14.25" customHeight="1">
      <c r="B131" s="24"/>
    </row>
    <row r="132" ht="14.25" customHeight="1">
      <c r="B132" s="24"/>
    </row>
    <row r="133" ht="14.25" customHeight="1">
      <c r="B133" s="24"/>
    </row>
    <row r="134" ht="14.25" customHeight="1">
      <c r="B134" s="24"/>
    </row>
    <row r="135" ht="14.25" customHeight="1">
      <c r="B135" s="24"/>
    </row>
    <row r="136" ht="14.25" customHeight="1">
      <c r="B136" s="24"/>
    </row>
    <row r="137" ht="14.25" customHeight="1">
      <c r="B137" s="24"/>
    </row>
    <row r="138" ht="14.25" customHeight="1">
      <c r="B138" s="24"/>
    </row>
    <row r="139" ht="14.25" customHeight="1">
      <c r="B139" s="24"/>
    </row>
    <row r="140" ht="14.25" customHeight="1">
      <c r="B140" s="24"/>
    </row>
    <row r="141" ht="14.25" customHeight="1">
      <c r="B141" s="24"/>
    </row>
    <row r="142" ht="14.25" customHeight="1">
      <c r="B142" s="24"/>
    </row>
    <row r="143" ht="14.25" customHeight="1">
      <c r="B143" s="24"/>
    </row>
    <row r="144" ht="14.25" customHeight="1">
      <c r="B144" s="24"/>
    </row>
    <row r="145" ht="14.25" customHeight="1">
      <c r="B145" s="24"/>
    </row>
    <row r="146" ht="14.25" customHeight="1">
      <c r="B146" s="24"/>
    </row>
    <row r="147" ht="14.25" customHeight="1">
      <c r="B147" s="24"/>
    </row>
    <row r="148" ht="14.25" customHeight="1">
      <c r="B148" s="24"/>
    </row>
    <row r="149" ht="14.25" customHeight="1">
      <c r="B149" s="24"/>
    </row>
    <row r="150" ht="14.25" customHeight="1">
      <c r="B150" s="24"/>
    </row>
    <row r="151" ht="14.25" customHeight="1">
      <c r="B151" s="24"/>
    </row>
    <row r="152" ht="14.25" customHeight="1">
      <c r="B152" s="24"/>
    </row>
    <row r="153" ht="14.25" customHeight="1">
      <c r="B153" s="24"/>
    </row>
    <row r="154" ht="14.25" customHeight="1">
      <c r="B154" s="24"/>
    </row>
    <row r="155" ht="14.25" customHeight="1">
      <c r="B155" s="24"/>
    </row>
    <row r="156" ht="14.25" customHeight="1">
      <c r="B156" s="24"/>
    </row>
    <row r="157" ht="14.25" customHeight="1">
      <c r="B157" s="24"/>
    </row>
    <row r="158" ht="14.25" customHeight="1">
      <c r="B158" s="24"/>
    </row>
    <row r="159" ht="14.25" customHeight="1">
      <c r="B159" s="24"/>
    </row>
    <row r="160" ht="14.25" customHeight="1">
      <c r="B160" s="24"/>
    </row>
    <row r="161" ht="14.25" customHeight="1">
      <c r="B161" s="24"/>
    </row>
    <row r="162" ht="14.25" customHeight="1">
      <c r="B162" s="24"/>
    </row>
    <row r="163" ht="14.25" customHeight="1">
      <c r="B163" s="24"/>
    </row>
    <row r="164" ht="14.25" customHeight="1">
      <c r="B164" s="24"/>
    </row>
    <row r="165" ht="14.25" customHeight="1">
      <c r="B165" s="24"/>
    </row>
    <row r="166" ht="14.25" customHeight="1">
      <c r="B166" s="24"/>
    </row>
    <row r="167" ht="14.25" customHeight="1">
      <c r="B167" s="24"/>
    </row>
    <row r="168" ht="14.25" customHeight="1">
      <c r="B168" s="24"/>
    </row>
    <row r="169" ht="14.25" customHeight="1">
      <c r="B169" s="24"/>
    </row>
    <row r="170" ht="14.25" customHeight="1">
      <c r="B170" s="24"/>
    </row>
    <row r="171" ht="14.25" customHeight="1">
      <c r="B171" s="24"/>
    </row>
    <row r="172" ht="14.25" customHeight="1">
      <c r="B172" s="24"/>
    </row>
    <row r="173" ht="14.25" customHeight="1">
      <c r="B173" s="24"/>
    </row>
    <row r="174" ht="14.25" customHeight="1">
      <c r="B174" s="24"/>
    </row>
    <row r="175" ht="14.25" customHeight="1">
      <c r="B175" s="24"/>
    </row>
    <row r="176" ht="14.25" customHeight="1">
      <c r="B176" s="24"/>
    </row>
    <row r="177" ht="14.25" customHeight="1">
      <c r="B177" s="24"/>
    </row>
    <row r="178" ht="14.25" customHeight="1">
      <c r="B178" s="24"/>
    </row>
    <row r="179" ht="14.25" customHeight="1">
      <c r="B179" s="24"/>
    </row>
    <row r="180" ht="14.25" customHeight="1">
      <c r="B180" s="24"/>
    </row>
    <row r="181" ht="14.25" customHeight="1">
      <c r="B181" s="24"/>
    </row>
    <row r="182" ht="14.25" customHeight="1">
      <c r="B182" s="24"/>
    </row>
    <row r="183" ht="14.25" customHeight="1">
      <c r="B183" s="24"/>
    </row>
    <row r="184" ht="14.25" customHeight="1">
      <c r="B184" s="24"/>
    </row>
    <row r="185" ht="14.25" customHeight="1">
      <c r="B185" s="24"/>
    </row>
    <row r="186" ht="14.25" customHeight="1">
      <c r="B186" s="24"/>
    </row>
    <row r="187" ht="14.25" customHeight="1">
      <c r="B187" s="24"/>
    </row>
    <row r="188" ht="14.25" customHeight="1">
      <c r="B188" s="24"/>
    </row>
    <row r="189" ht="14.25" customHeight="1">
      <c r="B189" s="24"/>
    </row>
    <row r="190" ht="14.25" customHeight="1">
      <c r="B190" s="24"/>
    </row>
    <row r="191" ht="14.25" customHeight="1">
      <c r="B191" s="24"/>
    </row>
    <row r="192" ht="14.25" customHeight="1">
      <c r="B192" s="24"/>
    </row>
    <row r="193" ht="14.25" customHeight="1">
      <c r="B193" s="24"/>
    </row>
    <row r="194" ht="14.25" customHeight="1">
      <c r="B194" s="24"/>
    </row>
    <row r="195" ht="14.25" customHeight="1">
      <c r="B195" s="24"/>
    </row>
    <row r="196" ht="14.25" customHeight="1">
      <c r="B196" s="24"/>
    </row>
    <row r="197" ht="14.25" customHeight="1">
      <c r="B197" s="24"/>
    </row>
    <row r="198" ht="14.25" customHeight="1">
      <c r="B198" s="24"/>
    </row>
    <row r="199" ht="14.25" customHeight="1">
      <c r="B199" s="24"/>
    </row>
    <row r="200" ht="14.25" customHeight="1">
      <c r="B200" s="24"/>
    </row>
    <row r="201" ht="14.25" customHeight="1">
      <c r="B201" s="24"/>
    </row>
    <row r="202" ht="14.25" customHeight="1">
      <c r="B202" s="24"/>
    </row>
    <row r="203" ht="14.25" customHeight="1">
      <c r="B203" s="24"/>
    </row>
    <row r="204" ht="14.25" customHeight="1">
      <c r="B204" s="24"/>
    </row>
    <row r="205" ht="14.25" customHeight="1">
      <c r="B205" s="24"/>
    </row>
    <row r="206" ht="14.25" customHeight="1">
      <c r="B206" s="24"/>
    </row>
    <row r="207" ht="14.25" customHeight="1">
      <c r="B207" s="24"/>
    </row>
    <row r="208" ht="14.25" customHeight="1">
      <c r="B208" s="24"/>
    </row>
    <row r="209" ht="14.25" customHeight="1">
      <c r="B209" s="24"/>
    </row>
    <row r="210" ht="14.25" customHeight="1">
      <c r="B210" s="24"/>
    </row>
    <row r="211" ht="14.25" customHeight="1">
      <c r="B211" s="24"/>
    </row>
    <row r="212" ht="14.25" customHeight="1">
      <c r="B212" s="24"/>
    </row>
    <row r="213" ht="14.25" customHeight="1">
      <c r="B213" s="24"/>
    </row>
    <row r="214" ht="14.25" customHeight="1">
      <c r="B214" s="24"/>
    </row>
    <row r="215" ht="14.25" customHeight="1">
      <c r="B215" s="24"/>
    </row>
    <row r="216" ht="14.25" customHeight="1">
      <c r="B216" s="24"/>
    </row>
    <row r="217" ht="14.25" customHeight="1">
      <c r="B217" s="24"/>
    </row>
    <row r="218" ht="14.25" customHeight="1">
      <c r="B218" s="24"/>
    </row>
    <row r="219" ht="14.25" customHeight="1">
      <c r="B219" s="24"/>
    </row>
    <row r="220" ht="14.25" customHeight="1">
      <c r="B220" s="24"/>
    </row>
    <row r="221" ht="14.25" customHeight="1">
      <c r="B221" s="24"/>
    </row>
    <row r="222" ht="14.25" customHeight="1">
      <c r="B222" s="24"/>
    </row>
    <row r="223" ht="14.25" customHeight="1">
      <c r="B223" s="24"/>
    </row>
    <row r="224" ht="14.25" customHeight="1">
      <c r="B224" s="24"/>
    </row>
    <row r="225" ht="14.25" customHeight="1">
      <c r="B225" s="24"/>
    </row>
    <row r="226" ht="14.25" customHeight="1">
      <c r="B226" s="24"/>
    </row>
    <row r="227" ht="14.25" customHeight="1">
      <c r="B227" s="24"/>
    </row>
    <row r="228" ht="14.25" customHeight="1">
      <c r="B228" s="24"/>
    </row>
    <row r="229" ht="14.25" customHeight="1">
      <c r="B229" s="24"/>
    </row>
    <row r="230" ht="14.25" customHeight="1">
      <c r="B230" s="24"/>
    </row>
    <row r="231" ht="14.25" customHeight="1">
      <c r="B231" s="24"/>
    </row>
    <row r="232" ht="14.25" customHeight="1">
      <c r="B232" s="24"/>
    </row>
    <row r="233" ht="14.25" customHeight="1">
      <c r="B233" s="24"/>
    </row>
    <row r="234" ht="14.25" customHeight="1">
      <c r="B234" s="24"/>
    </row>
    <row r="235" ht="14.25" customHeight="1">
      <c r="B235" s="24"/>
    </row>
    <row r="236" ht="14.25" customHeight="1">
      <c r="B236" s="24"/>
    </row>
    <row r="237" ht="14.25" customHeight="1">
      <c r="B237" s="24"/>
    </row>
    <row r="238" ht="14.25" customHeight="1">
      <c r="B238" s="24"/>
    </row>
    <row r="239" ht="14.25" customHeight="1">
      <c r="B239" s="24"/>
    </row>
    <row r="240" ht="14.25" customHeight="1">
      <c r="B240" s="24"/>
    </row>
    <row r="241" ht="14.25" customHeight="1">
      <c r="B241" s="24"/>
    </row>
    <row r="242" ht="14.25" customHeight="1">
      <c r="B242" s="24"/>
    </row>
    <row r="243" ht="14.25" customHeight="1">
      <c r="B243" s="24"/>
    </row>
    <row r="244" ht="14.25" customHeight="1">
      <c r="B244" s="24"/>
    </row>
    <row r="245" ht="14.25" customHeight="1">
      <c r="B245" s="24"/>
    </row>
    <row r="246" ht="14.25" customHeight="1">
      <c r="B246" s="24"/>
    </row>
    <row r="247" ht="14.25" customHeight="1">
      <c r="B247" s="24"/>
    </row>
    <row r="248" ht="14.25" customHeight="1">
      <c r="B248" s="24"/>
    </row>
    <row r="249" ht="14.25" customHeight="1">
      <c r="B249" s="24"/>
    </row>
    <row r="250" ht="14.25" customHeight="1">
      <c r="B250" s="24"/>
    </row>
    <row r="251" ht="14.25" customHeight="1">
      <c r="B251" s="24"/>
    </row>
    <row r="252" ht="14.25" customHeight="1">
      <c r="B252" s="24"/>
    </row>
    <row r="253" ht="14.25" customHeight="1">
      <c r="B253" s="24"/>
    </row>
    <row r="254" ht="14.25" customHeight="1">
      <c r="B254" s="24"/>
    </row>
    <row r="255" ht="14.25" customHeight="1">
      <c r="B255" s="24"/>
    </row>
    <row r="256" ht="14.25" customHeight="1">
      <c r="B256" s="24"/>
    </row>
    <row r="257" ht="14.25" customHeight="1">
      <c r="B257" s="24"/>
    </row>
    <row r="258" ht="14.25" customHeight="1">
      <c r="B258" s="24"/>
    </row>
    <row r="259" ht="14.25" customHeight="1">
      <c r="B259" s="24"/>
    </row>
    <row r="260" ht="14.25" customHeight="1">
      <c r="B260" s="24"/>
    </row>
    <row r="261" ht="14.25" customHeight="1">
      <c r="B261" s="24"/>
    </row>
    <row r="262" ht="14.25" customHeight="1">
      <c r="B262" s="24"/>
    </row>
    <row r="263" ht="14.25" customHeight="1">
      <c r="B263" s="24"/>
    </row>
    <row r="264" ht="14.25" customHeight="1">
      <c r="B264" s="24"/>
    </row>
    <row r="265" ht="14.25" customHeight="1">
      <c r="B265" s="24"/>
    </row>
    <row r="266" ht="14.25" customHeight="1">
      <c r="B266" s="24"/>
    </row>
    <row r="267" ht="14.25" customHeight="1">
      <c r="B267" s="24"/>
    </row>
    <row r="268" ht="14.25" customHeight="1">
      <c r="B268" s="24"/>
    </row>
    <row r="269" ht="14.25" customHeight="1">
      <c r="B269" s="24"/>
    </row>
    <row r="270" ht="14.25" customHeight="1">
      <c r="B270" s="24"/>
    </row>
    <row r="271" ht="14.25" customHeight="1">
      <c r="B271" s="24"/>
    </row>
    <row r="272" ht="14.25" customHeight="1">
      <c r="B272" s="24"/>
    </row>
    <row r="273" ht="14.25" customHeight="1">
      <c r="B273" s="24"/>
    </row>
    <row r="274" ht="14.25" customHeight="1">
      <c r="B274" s="24"/>
    </row>
    <row r="275" ht="14.25" customHeight="1">
      <c r="B275" s="24"/>
    </row>
    <row r="276" ht="14.25" customHeight="1">
      <c r="B276" s="24"/>
    </row>
    <row r="277" ht="14.25" customHeight="1">
      <c r="B277" s="24"/>
    </row>
    <row r="278" ht="14.25" customHeight="1">
      <c r="B278" s="24"/>
    </row>
    <row r="279" ht="14.25" customHeight="1">
      <c r="B279" s="24"/>
    </row>
    <row r="280" ht="14.25" customHeight="1">
      <c r="B280" s="24"/>
    </row>
    <row r="281" ht="14.25" customHeight="1">
      <c r="B281" s="24"/>
    </row>
    <row r="282" ht="14.25" customHeight="1">
      <c r="B282" s="24"/>
    </row>
    <row r="283" ht="14.25" customHeight="1">
      <c r="B283" s="24"/>
    </row>
    <row r="284" ht="14.25" customHeight="1">
      <c r="B284" s="24"/>
    </row>
    <row r="285" ht="14.25" customHeight="1">
      <c r="B285" s="24"/>
    </row>
    <row r="286" ht="14.25" customHeight="1">
      <c r="B286" s="24"/>
    </row>
    <row r="287" ht="14.25" customHeight="1">
      <c r="B287" s="24"/>
    </row>
    <row r="288" ht="14.25" customHeight="1">
      <c r="B288" s="24"/>
    </row>
    <row r="289" ht="14.25" customHeight="1">
      <c r="B289" s="24"/>
    </row>
    <row r="290" ht="14.25" customHeight="1">
      <c r="B290" s="24"/>
    </row>
    <row r="291" ht="14.25" customHeight="1">
      <c r="B291" s="24"/>
    </row>
    <row r="292" ht="14.25" customHeight="1">
      <c r="B292" s="24"/>
    </row>
    <row r="293" ht="14.25" customHeight="1">
      <c r="B293" s="24"/>
    </row>
    <row r="294" ht="14.25" customHeight="1">
      <c r="B294" s="24"/>
    </row>
    <row r="295" ht="14.25" customHeight="1">
      <c r="B295" s="24"/>
    </row>
    <row r="296" ht="14.25" customHeight="1">
      <c r="B296" s="24"/>
    </row>
    <row r="297" ht="14.25" customHeight="1">
      <c r="B297" s="24"/>
    </row>
    <row r="298" ht="14.25" customHeight="1">
      <c r="B298" s="24"/>
    </row>
    <row r="299" ht="14.25" customHeight="1">
      <c r="B299" s="24"/>
    </row>
    <row r="300" ht="14.25" customHeight="1">
      <c r="B300" s="24"/>
    </row>
    <row r="301" ht="14.25" customHeight="1">
      <c r="B301" s="24"/>
    </row>
    <row r="302" ht="14.25" customHeight="1">
      <c r="B302" s="24"/>
    </row>
    <row r="303" ht="14.25" customHeight="1">
      <c r="B303" s="24"/>
    </row>
    <row r="304" ht="14.25" customHeight="1">
      <c r="B304" s="24"/>
    </row>
    <row r="305" ht="14.25" customHeight="1">
      <c r="B305" s="24"/>
    </row>
    <row r="306" ht="14.25" customHeight="1">
      <c r="B306" s="24"/>
    </row>
    <row r="307" ht="14.25" customHeight="1">
      <c r="B307" s="24"/>
    </row>
    <row r="308" ht="14.25" customHeight="1">
      <c r="B308" s="24"/>
    </row>
    <row r="309" ht="14.25" customHeight="1">
      <c r="B309" s="24"/>
    </row>
    <row r="310" ht="14.25" customHeight="1">
      <c r="B310" s="24"/>
    </row>
    <row r="311" ht="14.25" customHeight="1">
      <c r="B311" s="24"/>
    </row>
    <row r="312" ht="14.25" customHeight="1">
      <c r="B312" s="24"/>
    </row>
    <row r="313" ht="14.25" customHeight="1">
      <c r="B313" s="24"/>
    </row>
    <row r="314" ht="14.25" customHeight="1">
      <c r="B314" s="24"/>
    </row>
    <row r="315" ht="14.25" customHeight="1">
      <c r="B315" s="24"/>
    </row>
    <row r="316" ht="14.25" customHeight="1">
      <c r="B316" s="24"/>
    </row>
    <row r="317" ht="14.25" customHeight="1">
      <c r="B317" s="24"/>
    </row>
    <row r="318" ht="14.25" customHeight="1">
      <c r="B318" s="24"/>
    </row>
    <row r="319" ht="14.25" customHeight="1">
      <c r="B319" s="24"/>
    </row>
    <row r="320" ht="14.25" customHeight="1">
      <c r="B320" s="24"/>
    </row>
    <row r="321" ht="14.25" customHeight="1">
      <c r="B321" s="24"/>
    </row>
    <row r="322" ht="14.25" customHeight="1">
      <c r="B322" s="24"/>
    </row>
    <row r="323" ht="14.25" customHeight="1">
      <c r="B323" s="24"/>
    </row>
    <row r="324" ht="14.25" customHeight="1">
      <c r="B324" s="24"/>
    </row>
    <row r="325" ht="14.25" customHeight="1">
      <c r="B325" s="24"/>
    </row>
    <row r="326" ht="14.25" customHeight="1">
      <c r="B326" s="24"/>
    </row>
    <row r="327" ht="14.25" customHeight="1">
      <c r="B327" s="24"/>
    </row>
    <row r="328" ht="14.25" customHeight="1">
      <c r="B328" s="24"/>
    </row>
    <row r="329" ht="14.25" customHeight="1">
      <c r="B329" s="24"/>
    </row>
    <row r="330" ht="14.25" customHeight="1">
      <c r="B330" s="24"/>
    </row>
    <row r="331" ht="14.25" customHeight="1">
      <c r="B331" s="24"/>
    </row>
    <row r="332" ht="14.25" customHeight="1">
      <c r="B332" s="24"/>
    </row>
    <row r="333" ht="14.25" customHeight="1">
      <c r="B333" s="24"/>
    </row>
    <row r="334" ht="14.25" customHeight="1">
      <c r="B334" s="24"/>
    </row>
    <row r="335" ht="14.25" customHeight="1">
      <c r="B335" s="24"/>
    </row>
    <row r="336" ht="14.25" customHeight="1">
      <c r="B336" s="24"/>
    </row>
    <row r="337" ht="14.25" customHeight="1">
      <c r="B337" s="24"/>
    </row>
    <row r="338" ht="14.25" customHeight="1">
      <c r="B338" s="24"/>
    </row>
    <row r="339" ht="14.25" customHeight="1">
      <c r="B339" s="24"/>
    </row>
    <row r="340" ht="14.25" customHeight="1">
      <c r="B340" s="24"/>
    </row>
    <row r="341" ht="14.25" customHeight="1">
      <c r="B341" s="24"/>
    </row>
    <row r="342" ht="14.25" customHeight="1">
      <c r="B342" s="24"/>
    </row>
    <row r="343" ht="14.25" customHeight="1">
      <c r="B343" s="24"/>
    </row>
    <row r="344" ht="14.25" customHeight="1">
      <c r="B344" s="24"/>
    </row>
    <row r="345" ht="14.25" customHeight="1">
      <c r="B345" s="24"/>
    </row>
    <row r="346" ht="14.25" customHeight="1">
      <c r="B346" s="24"/>
    </row>
    <row r="347" ht="14.25" customHeight="1">
      <c r="B347" s="24"/>
    </row>
    <row r="348" ht="14.25" customHeight="1">
      <c r="B348" s="24"/>
    </row>
    <row r="349" ht="14.25" customHeight="1">
      <c r="B349" s="24"/>
    </row>
    <row r="350" ht="14.25" customHeight="1">
      <c r="B350" s="24"/>
    </row>
    <row r="351" ht="14.25" customHeight="1">
      <c r="B351" s="24"/>
    </row>
    <row r="352" ht="14.25" customHeight="1">
      <c r="B352" s="24"/>
    </row>
    <row r="353" ht="14.25" customHeight="1">
      <c r="B353" s="24"/>
    </row>
    <row r="354" ht="14.25" customHeight="1">
      <c r="B354" s="24"/>
    </row>
    <row r="355" ht="14.25" customHeight="1">
      <c r="B355" s="24"/>
    </row>
    <row r="356" ht="14.25" customHeight="1">
      <c r="B356" s="24"/>
    </row>
    <row r="357" ht="14.25" customHeight="1">
      <c r="B357" s="24"/>
    </row>
    <row r="358" ht="14.25" customHeight="1">
      <c r="B358" s="24"/>
    </row>
    <row r="359" ht="14.25" customHeight="1">
      <c r="B359" s="24"/>
    </row>
    <row r="360" ht="14.25" customHeight="1">
      <c r="B360" s="24"/>
    </row>
    <row r="361" ht="14.25" customHeight="1">
      <c r="B361" s="24"/>
    </row>
    <row r="362" ht="14.25" customHeight="1">
      <c r="B362" s="24"/>
    </row>
    <row r="363" ht="14.25" customHeight="1">
      <c r="B363" s="24"/>
    </row>
    <row r="364" ht="14.25" customHeight="1">
      <c r="B364" s="24"/>
    </row>
    <row r="365" ht="14.25" customHeight="1">
      <c r="B365" s="24"/>
    </row>
    <row r="366" ht="14.25" customHeight="1">
      <c r="B366" s="24"/>
    </row>
    <row r="367" ht="14.25" customHeight="1">
      <c r="B367" s="24"/>
    </row>
    <row r="368" ht="14.25" customHeight="1">
      <c r="B368" s="24"/>
    </row>
    <row r="369" ht="14.25" customHeight="1">
      <c r="B369" s="24"/>
    </row>
    <row r="370" ht="14.25" customHeight="1">
      <c r="B370" s="24"/>
    </row>
    <row r="371" ht="14.25" customHeight="1">
      <c r="B371" s="24"/>
    </row>
    <row r="372" ht="14.25" customHeight="1">
      <c r="B372" s="24"/>
    </row>
    <row r="373" ht="14.25" customHeight="1">
      <c r="B373" s="24"/>
    </row>
    <row r="374" ht="14.25" customHeight="1">
      <c r="B374" s="24"/>
    </row>
    <row r="375" ht="14.25" customHeight="1">
      <c r="B375" s="24"/>
    </row>
    <row r="376" ht="14.25" customHeight="1">
      <c r="B376" s="24"/>
    </row>
    <row r="377" ht="14.25" customHeight="1">
      <c r="B377" s="24"/>
    </row>
    <row r="378" ht="14.25" customHeight="1">
      <c r="B378" s="24"/>
    </row>
    <row r="379" ht="14.25" customHeight="1">
      <c r="B379" s="24"/>
    </row>
    <row r="380" ht="14.25" customHeight="1">
      <c r="B380" s="24"/>
    </row>
    <row r="381" ht="14.25" customHeight="1">
      <c r="B381" s="24"/>
    </row>
    <row r="382" ht="14.25" customHeight="1">
      <c r="B382" s="24"/>
    </row>
    <row r="383" ht="14.25" customHeight="1">
      <c r="B383" s="24"/>
    </row>
    <row r="384" ht="14.25" customHeight="1">
      <c r="B384" s="24"/>
    </row>
    <row r="385" ht="14.25" customHeight="1">
      <c r="B385" s="24"/>
    </row>
    <row r="386" ht="14.25" customHeight="1">
      <c r="B386" s="24"/>
    </row>
    <row r="387" ht="14.25" customHeight="1">
      <c r="B387" s="24"/>
    </row>
    <row r="388" ht="14.25" customHeight="1">
      <c r="B388" s="24"/>
    </row>
    <row r="389" ht="14.25" customHeight="1">
      <c r="B389" s="24"/>
    </row>
    <row r="390" ht="14.25" customHeight="1">
      <c r="B390" s="24"/>
    </row>
    <row r="391" ht="14.25" customHeight="1">
      <c r="B391" s="24"/>
    </row>
    <row r="392" ht="14.25" customHeight="1">
      <c r="B392" s="24"/>
    </row>
    <row r="393" ht="14.25" customHeight="1">
      <c r="B393" s="24"/>
    </row>
    <row r="394" ht="14.25" customHeight="1">
      <c r="B394" s="24"/>
    </row>
    <row r="395" ht="14.25" customHeight="1">
      <c r="B395" s="24"/>
    </row>
    <row r="396" ht="14.25" customHeight="1">
      <c r="B396" s="24"/>
    </row>
    <row r="397" ht="14.25" customHeight="1">
      <c r="B397" s="24"/>
    </row>
    <row r="398" ht="14.25" customHeight="1">
      <c r="B398" s="24"/>
    </row>
    <row r="399" ht="14.25" customHeight="1">
      <c r="B399" s="24"/>
    </row>
    <row r="400" ht="14.25" customHeight="1">
      <c r="B400" s="24"/>
    </row>
    <row r="401" ht="14.25" customHeight="1">
      <c r="B401" s="24"/>
    </row>
    <row r="402" ht="14.25" customHeight="1">
      <c r="B402" s="24"/>
    </row>
    <row r="403" ht="14.25" customHeight="1">
      <c r="B403" s="24"/>
    </row>
    <row r="404" ht="14.25" customHeight="1">
      <c r="B404" s="24"/>
    </row>
    <row r="405" ht="14.25" customHeight="1">
      <c r="B405" s="24"/>
    </row>
    <row r="406" ht="14.25" customHeight="1">
      <c r="B406" s="24"/>
    </row>
    <row r="407" ht="14.25" customHeight="1">
      <c r="B407" s="24"/>
    </row>
    <row r="408" ht="14.25" customHeight="1">
      <c r="B408" s="24"/>
    </row>
    <row r="409" ht="14.25" customHeight="1">
      <c r="B409" s="24"/>
    </row>
    <row r="410" ht="14.25" customHeight="1">
      <c r="B410" s="24"/>
    </row>
    <row r="411" ht="14.25" customHeight="1">
      <c r="B411" s="24"/>
    </row>
    <row r="412" ht="14.25" customHeight="1">
      <c r="B412" s="24"/>
    </row>
    <row r="413" ht="14.25" customHeight="1">
      <c r="B413" s="24"/>
    </row>
    <row r="414" ht="14.25" customHeight="1">
      <c r="B414" s="24"/>
    </row>
    <row r="415" ht="14.25" customHeight="1">
      <c r="B415" s="24"/>
    </row>
    <row r="416" ht="14.25" customHeight="1">
      <c r="B416" s="24"/>
    </row>
    <row r="417" ht="14.25" customHeight="1">
      <c r="B417" s="24"/>
    </row>
    <row r="418" ht="14.25" customHeight="1">
      <c r="B418" s="24"/>
    </row>
    <row r="419" ht="14.25" customHeight="1">
      <c r="B419" s="24"/>
    </row>
    <row r="420" ht="14.25" customHeight="1">
      <c r="B420" s="24"/>
    </row>
    <row r="421" ht="14.25" customHeight="1">
      <c r="B421" s="24"/>
    </row>
    <row r="422" ht="14.25" customHeight="1">
      <c r="B422" s="24"/>
    </row>
    <row r="423" ht="14.25" customHeight="1">
      <c r="B423" s="24"/>
    </row>
    <row r="424" ht="14.25" customHeight="1">
      <c r="B424" s="24"/>
    </row>
    <row r="425" ht="14.25" customHeight="1">
      <c r="B425" s="24"/>
    </row>
    <row r="426" ht="14.25" customHeight="1">
      <c r="B426" s="24"/>
    </row>
    <row r="427" ht="14.25" customHeight="1">
      <c r="B427" s="24"/>
    </row>
    <row r="428" ht="14.25" customHeight="1">
      <c r="B428" s="24"/>
    </row>
    <row r="429" ht="14.25" customHeight="1">
      <c r="B429" s="24"/>
    </row>
    <row r="430" ht="14.25" customHeight="1">
      <c r="B430" s="24"/>
    </row>
    <row r="431" ht="14.25" customHeight="1">
      <c r="B431" s="24"/>
    </row>
    <row r="432" ht="14.25" customHeight="1">
      <c r="B432" s="24"/>
    </row>
    <row r="433" ht="14.25" customHeight="1">
      <c r="B433" s="24"/>
    </row>
    <row r="434" ht="14.25" customHeight="1">
      <c r="B434" s="24"/>
    </row>
    <row r="435" ht="14.25" customHeight="1">
      <c r="B435" s="24"/>
    </row>
    <row r="436" ht="14.25" customHeight="1">
      <c r="B436" s="24"/>
    </row>
    <row r="437" ht="14.25" customHeight="1">
      <c r="B437" s="24"/>
    </row>
    <row r="438" ht="14.25" customHeight="1">
      <c r="B438" s="24"/>
    </row>
    <row r="439" ht="14.25" customHeight="1">
      <c r="B439" s="24"/>
    </row>
    <row r="440" ht="14.25" customHeight="1">
      <c r="B440" s="24"/>
    </row>
    <row r="441" ht="14.25" customHeight="1">
      <c r="B441" s="24"/>
    </row>
    <row r="442" ht="14.25" customHeight="1">
      <c r="B442" s="24"/>
    </row>
    <row r="443" ht="14.25" customHeight="1">
      <c r="B443" s="24"/>
    </row>
    <row r="444" ht="14.25" customHeight="1">
      <c r="B444" s="24"/>
    </row>
    <row r="445" ht="14.25" customHeight="1">
      <c r="B445" s="24"/>
    </row>
    <row r="446" ht="14.25" customHeight="1">
      <c r="B446" s="24"/>
    </row>
    <row r="447" ht="14.25" customHeight="1">
      <c r="B447" s="24"/>
    </row>
    <row r="448" ht="14.25" customHeight="1">
      <c r="B448" s="24"/>
    </row>
    <row r="449" ht="14.25" customHeight="1">
      <c r="B449" s="24"/>
    </row>
    <row r="450" ht="14.25" customHeight="1">
      <c r="B450" s="24"/>
    </row>
    <row r="451" ht="14.25" customHeight="1">
      <c r="B451" s="24"/>
    </row>
    <row r="452" ht="14.25" customHeight="1">
      <c r="B452" s="24"/>
    </row>
    <row r="453" ht="14.25" customHeight="1">
      <c r="B453" s="24"/>
    </row>
    <row r="454" ht="14.25" customHeight="1">
      <c r="B454" s="24"/>
    </row>
    <row r="455" ht="14.25" customHeight="1">
      <c r="B455" s="24"/>
    </row>
    <row r="456" ht="14.25" customHeight="1">
      <c r="B456" s="24"/>
    </row>
    <row r="457" ht="14.25" customHeight="1">
      <c r="B457" s="24"/>
    </row>
    <row r="458" ht="14.25" customHeight="1">
      <c r="B458" s="24"/>
    </row>
    <row r="459" ht="14.25" customHeight="1">
      <c r="B459" s="24"/>
    </row>
    <row r="460" ht="14.25" customHeight="1">
      <c r="B460" s="24"/>
    </row>
    <row r="461" ht="14.25" customHeight="1">
      <c r="B461" s="24"/>
    </row>
    <row r="462" ht="14.25" customHeight="1">
      <c r="B462" s="24"/>
    </row>
    <row r="463" ht="14.25" customHeight="1">
      <c r="B463" s="24"/>
    </row>
    <row r="464" ht="14.25" customHeight="1">
      <c r="B464" s="24"/>
    </row>
    <row r="465" ht="14.25" customHeight="1">
      <c r="B465" s="24"/>
    </row>
    <row r="466" ht="14.25" customHeight="1">
      <c r="B466" s="24"/>
    </row>
    <row r="467" ht="14.25" customHeight="1">
      <c r="B467" s="24"/>
    </row>
    <row r="468" ht="14.25" customHeight="1">
      <c r="B468" s="24"/>
    </row>
    <row r="469" ht="14.25" customHeight="1">
      <c r="B469" s="24"/>
    </row>
    <row r="470" ht="14.25" customHeight="1">
      <c r="B470" s="24"/>
    </row>
    <row r="471" ht="14.25" customHeight="1">
      <c r="B471" s="24"/>
    </row>
    <row r="472" ht="14.25" customHeight="1">
      <c r="B472" s="24"/>
    </row>
    <row r="473" ht="14.25" customHeight="1">
      <c r="B473" s="24"/>
    </row>
    <row r="474" ht="14.25" customHeight="1">
      <c r="B474" s="24"/>
    </row>
    <row r="475" ht="14.25" customHeight="1">
      <c r="B475" s="24"/>
    </row>
    <row r="476" ht="14.25" customHeight="1">
      <c r="B476" s="24"/>
    </row>
    <row r="477" ht="14.25" customHeight="1">
      <c r="B477" s="24"/>
    </row>
    <row r="478" ht="14.25" customHeight="1">
      <c r="B478" s="24"/>
    </row>
    <row r="479" ht="14.25" customHeight="1">
      <c r="B479" s="24"/>
    </row>
    <row r="480" ht="14.25" customHeight="1">
      <c r="B480" s="24"/>
    </row>
    <row r="481" ht="14.25" customHeight="1">
      <c r="B481" s="24"/>
    </row>
    <row r="482" ht="14.25" customHeight="1">
      <c r="B482" s="24"/>
    </row>
    <row r="483" ht="14.25" customHeight="1">
      <c r="B483" s="24"/>
    </row>
    <row r="484" ht="14.25" customHeight="1">
      <c r="B484" s="24"/>
    </row>
    <row r="485" ht="14.25" customHeight="1">
      <c r="B485" s="24"/>
    </row>
    <row r="486" ht="14.25" customHeight="1">
      <c r="B486" s="24"/>
    </row>
    <row r="487" ht="14.25" customHeight="1">
      <c r="B487" s="24"/>
    </row>
    <row r="488" ht="14.25" customHeight="1">
      <c r="B488" s="24"/>
    </row>
    <row r="489" ht="14.25" customHeight="1">
      <c r="B489" s="24"/>
    </row>
    <row r="490" ht="14.25" customHeight="1">
      <c r="B490" s="24"/>
    </row>
    <row r="491" ht="14.25" customHeight="1">
      <c r="B491" s="24"/>
    </row>
    <row r="492" ht="14.25" customHeight="1">
      <c r="B492" s="24"/>
    </row>
    <row r="493" ht="14.25" customHeight="1">
      <c r="B493" s="24"/>
    </row>
    <row r="494" ht="14.25" customHeight="1">
      <c r="B494" s="24"/>
    </row>
    <row r="495" ht="14.25" customHeight="1">
      <c r="B495" s="24"/>
    </row>
    <row r="496" ht="14.25" customHeight="1">
      <c r="B496" s="24"/>
    </row>
    <row r="497" ht="14.25" customHeight="1">
      <c r="B497" s="24"/>
    </row>
    <row r="498" ht="14.25" customHeight="1">
      <c r="B498" s="24"/>
    </row>
    <row r="499" ht="14.25" customHeight="1">
      <c r="B499" s="24"/>
    </row>
    <row r="500" ht="14.25" customHeight="1">
      <c r="B500" s="24"/>
    </row>
    <row r="501" ht="14.25" customHeight="1">
      <c r="B501" s="24"/>
    </row>
    <row r="502" ht="14.25" customHeight="1">
      <c r="B502" s="24"/>
    </row>
    <row r="503" ht="14.25" customHeight="1">
      <c r="B503" s="24"/>
    </row>
    <row r="504" ht="14.25" customHeight="1">
      <c r="B504" s="24"/>
    </row>
    <row r="505" ht="14.25" customHeight="1">
      <c r="B505" s="24"/>
    </row>
    <row r="506" ht="14.25" customHeight="1">
      <c r="B506" s="24"/>
    </row>
    <row r="507" ht="14.25" customHeight="1">
      <c r="B507" s="24"/>
    </row>
    <row r="508" ht="14.25" customHeight="1">
      <c r="B508" s="24"/>
    </row>
    <row r="509" ht="14.25" customHeight="1">
      <c r="B509" s="24"/>
    </row>
    <row r="510" ht="14.25" customHeight="1">
      <c r="B510" s="24"/>
    </row>
    <row r="511" ht="14.25" customHeight="1">
      <c r="B511" s="24"/>
    </row>
    <row r="512" ht="14.25" customHeight="1">
      <c r="B512" s="24"/>
    </row>
    <row r="513" ht="14.25" customHeight="1">
      <c r="B513" s="24"/>
    </row>
    <row r="514" ht="14.25" customHeight="1">
      <c r="B514" s="24"/>
    </row>
    <row r="515" ht="14.25" customHeight="1">
      <c r="B515" s="24"/>
    </row>
    <row r="516" ht="14.25" customHeight="1">
      <c r="B516" s="24"/>
    </row>
    <row r="517" ht="14.25" customHeight="1">
      <c r="B517" s="24"/>
    </row>
    <row r="518" ht="14.25" customHeight="1">
      <c r="B518" s="24"/>
    </row>
    <row r="519" ht="14.25" customHeight="1">
      <c r="B519" s="24"/>
    </row>
    <row r="520" ht="14.25" customHeight="1">
      <c r="B520" s="24"/>
    </row>
    <row r="521" ht="14.25" customHeight="1">
      <c r="B521" s="24"/>
    </row>
    <row r="522" ht="14.25" customHeight="1">
      <c r="B522" s="24"/>
    </row>
    <row r="523" ht="14.25" customHeight="1">
      <c r="B523" s="24"/>
    </row>
    <row r="524" ht="14.25" customHeight="1">
      <c r="B524" s="24"/>
    </row>
    <row r="525" ht="14.25" customHeight="1">
      <c r="B525" s="24"/>
    </row>
    <row r="526" ht="14.25" customHeight="1">
      <c r="B526" s="24"/>
    </row>
    <row r="527" ht="14.25" customHeight="1">
      <c r="B527" s="24"/>
    </row>
    <row r="528" ht="14.25" customHeight="1">
      <c r="B528" s="24"/>
    </row>
    <row r="529" ht="14.25" customHeight="1">
      <c r="B529" s="24"/>
    </row>
    <row r="530" ht="14.25" customHeight="1">
      <c r="B530" s="24"/>
    </row>
    <row r="531" ht="14.25" customHeight="1">
      <c r="B531" s="24"/>
    </row>
    <row r="532" ht="14.25" customHeight="1">
      <c r="B532" s="24"/>
    </row>
    <row r="533" ht="14.25" customHeight="1">
      <c r="B533" s="24"/>
    </row>
    <row r="534" ht="14.25" customHeight="1">
      <c r="B534" s="24"/>
    </row>
    <row r="535" ht="14.25" customHeight="1">
      <c r="B535" s="24"/>
    </row>
    <row r="536" ht="14.25" customHeight="1">
      <c r="B536" s="24"/>
    </row>
    <row r="537" ht="14.25" customHeight="1">
      <c r="B537" s="24"/>
    </row>
    <row r="538" ht="14.25" customHeight="1">
      <c r="B538" s="24"/>
    </row>
    <row r="539" ht="14.25" customHeight="1">
      <c r="B539" s="24"/>
    </row>
    <row r="540" ht="14.25" customHeight="1">
      <c r="B540" s="24"/>
    </row>
    <row r="541" ht="14.25" customHeight="1">
      <c r="B541" s="24"/>
    </row>
    <row r="542" ht="14.25" customHeight="1">
      <c r="B542" s="24"/>
    </row>
    <row r="543" ht="14.25" customHeight="1">
      <c r="B543" s="24"/>
    </row>
    <row r="544" ht="14.25" customHeight="1">
      <c r="B544" s="24"/>
    </row>
    <row r="545" ht="14.25" customHeight="1">
      <c r="B545" s="24"/>
    </row>
    <row r="546" ht="14.25" customHeight="1">
      <c r="B546" s="24"/>
    </row>
    <row r="547" ht="14.25" customHeight="1">
      <c r="B547" s="24"/>
    </row>
    <row r="548" ht="14.25" customHeight="1">
      <c r="B548" s="24"/>
    </row>
    <row r="549" ht="14.25" customHeight="1">
      <c r="B549" s="24"/>
    </row>
    <row r="550" ht="14.25" customHeight="1">
      <c r="B550" s="24"/>
    </row>
    <row r="551" ht="14.25" customHeight="1">
      <c r="B551" s="24"/>
    </row>
    <row r="552" ht="14.25" customHeight="1">
      <c r="B552" s="24"/>
    </row>
    <row r="553" ht="14.25" customHeight="1">
      <c r="B553" s="24"/>
    </row>
    <row r="554" ht="14.25" customHeight="1">
      <c r="B554" s="24"/>
    </row>
    <row r="555" ht="14.25" customHeight="1">
      <c r="B555" s="24"/>
    </row>
    <row r="556" ht="14.25" customHeight="1">
      <c r="B556" s="24"/>
    </row>
    <row r="557" ht="14.25" customHeight="1">
      <c r="B557" s="24"/>
    </row>
    <row r="558" ht="14.25" customHeight="1">
      <c r="B558" s="24"/>
    </row>
    <row r="559" ht="14.25" customHeight="1">
      <c r="B559" s="24"/>
    </row>
    <row r="560" ht="14.25" customHeight="1">
      <c r="B560" s="24"/>
    </row>
    <row r="561" ht="14.25" customHeight="1">
      <c r="B561" s="24"/>
    </row>
    <row r="562" ht="14.25" customHeight="1">
      <c r="B562" s="24"/>
    </row>
    <row r="563" ht="14.25" customHeight="1">
      <c r="B563" s="24"/>
    </row>
    <row r="564" ht="14.25" customHeight="1">
      <c r="B564" s="24"/>
    </row>
    <row r="565" ht="14.25" customHeight="1">
      <c r="B565" s="24"/>
    </row>
    <row r="566" ht="14.25" customHeight="1">
      <c r="B566" s="24"/>
    </row>
    <row r="567" ht="14.25" customHeight="1">
      <c r="B567" s="24"/>
    </row>
    <row r="568" ht="14.25" customHeight="1">
      <c r="B568" s="24"/>
    </row>
    <row r="569" ht="14.25" customHeight="1">
      <c r="B569" s="24"/>
    </row>
    <row r="570" ht="14.25" customHeight="1">
      <c r="B570" s="24"/>
    </row>
    <row r="571" ht="14.25" customHeight="1">
      <c r="B571" s="24"/>
    </row>
    <row r="572" ht="14.25" customHeight="1">
      <c r="B572" s="24"/>
    </row>
    <row r="573" ht="14.25" customHeight="1">
      <c r="B573" s="24"/>
    </row>
    <row r="574" ht="14.25" customHeight="1">
      <c r="B574" s="24"/>
    </row>
    <row r="575" ht="14.25" customHeight="1">
      <c r="B575" s="24"/>
    </row>
    <row r="576" ht="14.25" customHeight="1">
      <c r="B576" s="24"/>
    </row>
    <row r="577" ht="14.25" customHeight="1">
      <c r="B577" s="24"/>
    </row>
    <row r="578" ht="14.25" customHeight="1">
      <c r="B578" s="24"/>
    </row>
    <row r="579" ht="14.25" customHeight="1">
      <c r="B579" s="24"/>
    </row>
    <row r="580" ht="14.25" customHeight="1">
      <c r="B580" s="24"/>
    </row>
    <row r="581" ht="14.25" customHeight="1">
      <c r="B581" s="24"/>
    </row>
    <row r="582" ht="14.25" customHeight="1">
      <c r="B582" s="24"/>
    </row>
    <row r="583" ht="14.25" customHeight="1">
      <c r="B583" s="24"/>
    </row>
    <row r="584" ht="14.25" customHeight="1">
      <c r="B584" s="24"/>
    </row>
    <row r="585" ht="14.25" customHeight="1">
      <c r="B585" s="24"/>
    </row>
    <row r="586" ht="14.25" customHeight="1">
      <c r="B586" s="24"/>
    </row>
    <row r="587" ht="14.25" customHeight="1">
      <c r="B587" s="24"/>
    </row>
    <row r="588" ht="14.25" customHeight="1">
      <c r="B588" s="24"/>
    </row>
    <row r="589" ht="14.25" customHeight="1">
      <c r="B589" s="24"/>
    </row>
    <row r="590" ht="14.25" customHeight="1">
      <c r="B590" s="24"/>
    </row>
    <row r="591" ht="14.25" customHeight="1">
      <c r="B591" s="24"/>
    </row>
    <row r="592" ht="14.25" customHeight="1">
      <c r="B592" s="24"/>
    </row>
    <row r="593" ht="14.25" customHeight="1">
      <c r="B593" s="24"/>
    </row>
    <row r="594" ht="14.25" customHeight="1">
      <c r="B594" s="24"/>
    </row>
    <row r="595" ht="14.25" customHeight="1">
      <c r="B595" s="24"/>
    </row>
    <row r="596" ht="14.25" customHeight="1">
      <c r="B596" s="24"/>
    </row>
    <row r="597" ht="14.25" customHeight="1">
      <c r="B597" s="24"/>
    </row>
    <row r="598" ht="14.25" customHeight="1">
      <c r="B598" s="24"/>
    </row>
    <row r="599" ht="14.25" customHeight="1">
      <c r="B599" s="24"/>
    </row>
    <row r="600" ht="14.25" customHeight="1">
      <c r="B600" s="24"/>
    </row>
    <row r="601" ht="14.25" customHeight="1">
      <c r="B601" s="24"/>
    </row>
    <row r="602" ht="14.25" customHeight="1">
      <c r="B602" s="24"/>
    </row>
    <row r="603" ht="14.25" customHeight="1">
      <c r="B603" s="24"/>
    </row>
    <row r="604" ht="14.25" customHeight="1">
      <c r="B604" s="24"/>
    </row>
    <row r="605" ht="14.25" customHeight="1">
      <c r="B605" s="24"/>
    </row>
    <row r="606" ht="14.25" customHeight="1">
      <c r="B606" s="24"/>
    </row>
    <row r="607" ht="14.25" customHeight="1">
      <c r="B607" s="24"/>
    </row>
    <row r="608" ht="14.25" customHeight="1">
      <c r="B608" s="24"/>
    </row>
    <row r="609" ht="14.25" customHeight="1">
      <c r="B609" s="24"/>
    </row>
    <row r="610" ht="14.25" customHeight="1">
      <c r="B610" s="24"/>
    </row>
    <row r="611" ht="14.25" customHeight="1">
      <c r="B611" s="24"/>
    </row>
    <row r="612" ht="14.25" customHeight="1">
      <c r="B612" s="24"/>
    </row>
    <row r="613" ht="14.25" customHeight="1">
      <c r="B613" s="24"/>
    </row>
    <row r="614" ht="14.25" customHeight="1">
      <c r="B614" s="24"/>
    </row>
    <row r="615" ht="14.25" customHeight="1">
      <c r="B615" s="24"/>
    </row>
    <row r="616" ht="14.25" customHeight="1">
      <c r="B616" s="24"/>
    </row>
    <row r="617" ht="14.25" customHeight="1">
      <c r="B617" s="24"/>
    </row>
    <row r="618" ht="14.25" customHeight="1">
      <c r="B618" s="24"/>
    </row>
    <row r="619" ht="14.25" customHeight="1">
      <c r="B619" s="24"/>
    </row>
    <row r="620" ht="14.25" customHeight="1">
      <c r="B620" s="24"/>
    </row>
    <row r="621" ht="14.25" customHeight="1">
      <c r="B621" s="24"/>
    </row>
    <row r="622" ht="14.25" customHeight="1">
      <c r="B622" s="24"/>
    </row>
    <row r="623" ht="14.25" customHeight="1">
      <c r="B623" s="24"/>
    </row>
    <row r="624" ht="14.25" customHeight="1">
      <c r="B624" s="24"/>
    </row>
    <row r="625" ht="14.25" customHeight="1">
      <c r="B625" s="24"/>
    </row>
    <row r="626" ht="14.25" customHeight="1">
      <c r="B626" s="24"/>
    </row>
    <row r="627" ht="14.25" customHeight="1">
      <c r="B627" s="24"/>
    </row>
    <row r="628" ht="14.25" customHeight="1">
      <c r="B628" s="24"/>
    </row>
    <row r="629" ht="14.25" customHeight="1">
      <c r="B629" s="24"/>
    </row>
    <row r="630" ht="14.25" customHeight="1">
      <c r="B630" s="24"/>
    </row>
    <row r="631" ht="14.25" customHeight="1">
      <c r="B631" s="24"/>
    </row>
    <row r="632" ht="14.25" customHeight="1">
      <c r="B632" s="24"/>
    </row>
    <row r="633" ht="14.25" customHeight="1">
      <c r="B633" s="24"/>
    </row>
    <row r="634" ht="14.25" customHeight="1">
      <c r="B634" s="24"/>
    </row>
    <row r="635" ht="14.25" customHeight="1">
      <c r="B635" s="24"/>
    </row>
    <row r="636" ht="14.25" customHeight="1">
      <c r="B636" s="24"/>
    </row>
    <row r="637" ht="14.25" customHeight="1">
      <c r="B637" s="24"/>
    </row>
    <row r="638" ht="14.25" customHeight="1">
      <c r="B638" s="24"/>
    </row>
    <row r="639" ht="14.25" customHeight="1">
      <c r="B639" s="24"/>
    </row>
    <row r="640" ht="14.25" customHeight="1">
      <c r="B640" s="24"/>
    </row>
    <row r="641" ht="14.25" customHeight="1">
      <c r="B641" s="24"/>
    </row>
    <row r="642" ht="14.25" customHeight="1">
      <c r="B642" s="24"/>
    </row>
    <row r="643" ht="14.25" customHeight="1">
      <c r="B643" s="24"/>
    </row>
    <row r="644" ht="14.25" customHeight="1">
      <c r="B644" s="24"/>
    </row>
    <row r="645" ht="14.25" customHeight="1">
      <c r="B645" s="24"/>
    </row>
    <row r="646" ht="14.25" customHeight="1">
      <c r="B646" s="24"/>
    </row>
    <row r="647" ht="14.25" customHeight="1">
      <c r="B647" s="24"/>
    </row>
    <row r="648" ht="14.25" customHeight="1">
      <c r="B648" s="24"/>
    </row>
    <row r="649" ht="14.25" customHeight="1">
      <c r="B649" s="24"/>
    </row>
    <row r="650" ht="14.25" customHeight="1">
      <c r="B650" s="24"/>
    </row>
    <row r="651" ht="14.25" customHeight="1">
      <c r="B651" s="24"/>
    </row>
    <row r="652" ht="14.25" customHeight="1">
      <c r="B652" s="24"/>
    </row>
    <row r="653" ht="14.25" customHeight="1">
      <c r="B653" s="24"/>
    </row>
    <row r="654" ht="14.25" customHeight="1">
      <c r="B654" s="24"/>
    </row>
    <row r="655" ht="14.25" customHeight="1">
      <c r="B655" s="24"/>
    </row>
    <row r="656" ht="14.25" customHeight="1">
      <c r="B656" s="24"/>
    </row>
    <row r="657" ht="14.25" customHeight="1">
      <c r="B657" s="24"/>
    </row>
    <row r="658" ht="14.25" customHeight="1">
      <c r="B658" s="24"/>
    </row>
    <row r="659" ht="14.25" customHeight="1">
      <c r="B659" s="24"/>
    </row>
    <row r="660" ht="14.25" customHeight="1">
      <c r="B660" s="24"/>
    </row>
    <row r="661" ht="14.25" customHeight="1">
      <c r="B661" s="24"/>
    </row>
    <row r="662" ht="14.25" customHeight="1">
      <c r="B662" s="24"/>
    </row>
    <row r="663" ht="14.25" customHeight="1">
      <c r="B663" s="24"/>
    </row>
    <row r="664" ht="14.25" customHeight="1">
      <c r="B664" s="24"/>
    </row>
    <row r="665" ht="14.25" customHeight="1">
      <c r="B665" s="24"/>
    </row>
    <row r="666" ht="14.25" customHeight="1">
      <c r="B666" s="24"/>
    </row>
    <row r="667" ht="14.25" customHeight="1">
      <c r="B667" s="24"/>
    </row>
    <row r="668" ht="14.25" customHeight="1">
      <c r="B668" s="24"/>
    </row>
    <row r="669" ht="14.25" customHeight="1">
      <c r="B669" s="24"/>
    </row>
    <row r="670" ht="14.25" customHeight="1">
      <c r="B670" s="24"/>
    </row>
    <row r="671" ht="14.25" customHeight="1">
      <c r="B671" s="24"/>
    </row>
    <row r="672" ht="14.25" customHeight="1">
      <c r="B672" s="24"/>
    </row>
    <row r="673" ht="14.25" customHeight="1">
      <c r="B673" s="24"/>
    </row>
    <row r="674" ht="14.25" customHeight="1">
      <c r="B674" s="24"/>
    </row>
    <row r="675" ht="14.25" customHeight="1">
      <c r="B675" s="24"/>
    </row>
    <row r="676" ht="14.25" customHeight="1">
      <c r="B676" s="24"/>
    </row>
    <row r="677" ht="14.25" customHeight="1">
      <c r="B677" s="24"/>
    </row>
    <row r="678" ht="14.25" customHeight="1">
      <c r="B678" s="24"/>
    </row>
    <row r="679" ht="14.25" customHeight="1">
      <c r="B679" s="24"/>
    </row>
    <row r="680" ht="14.25" customHeight="1">
      <c r="B680" s="24"/>
    </row>
    <row r="681" ht="14.25" customHeight="1">
      <c r="B681" s="24"/>
    </row>
    <row r="682" ht="14.25" customHeight="1">
      <c r="B682" s="24"/>
    </row>
    <row r="683" ht="14.25" customHeight="1">
      <c r="B683" s="24"/>
    </row>
    <row r="684" ht="14.25" customHeight="1">
      <c r="B684" s="24"/>
    </row>
    <row r="685" ht="14.25" customHeight="1">
      <c r="B685" s="24"/>
    </row>
    <row r="686" ht="14.25" customHeight="1">
      <c r="B686" s="24"/>
    </row>
    <row r="687" ht="14.25" customHeight="1">
      <c r="B687" s="24"/>
    </row>
    <row r="688" ht="14.25" customHeight="1">
      <c r="B688" s="24"/>
    </row>
    <row r="689" ht="14.25" customHeight="1">
      <c r="B689" s="24"/>
    </row>
    <row r="690" ht="14.25" customHeight="1">
      <c r="B690" s="24"/>
    </row>
    <row r="691" ht="14.25" customHeight="1">
      <c r="B691" s="24"/>
    </row>
    <row r="692" ht="14.25" customHeight="1">
      <c r="B692" s="24"/>
    </row>
    <row r="693" ht="14.25" customHeight="1">
      <c r="B693" s="24"/>
    </row>
    <row r="694" ht="14.25" customHeight="1">
      <c r="B694" s="24"/>
    </row>
    <row r="695" ht="14.25" customHeight="1">
      <c r="B695" s="24"/>
    </row>
    <row r="696" ht="14.25" customHeight="1">
      <c r="B696" s="24"/>
    </row>
    <row r="697" ht="14.25" customHeight="1">
      <c r="B697" s="24"/>
    </row>
    <row r="698" ht="14.25" customHeight="1">
      <c r="B698" s="24"/>
    </row>
    <row r="699" ht="14.25" customHeight="1">
      <c r="B699" s="24"/>
    </row>
    <row r="700" ht="14.25" customHeight="1">
      <c r="B700" s="24"/>
    </row>
    <row r="701" ht="14.25" customHeight="1">
      <c r="B701" s="24"/>
    </row>
    <row r="702" ht="14.25" customHeight="1">
      <c r="B702" s="24"/>
    </row>
    <row r="703" ht="14.25" customHeight="1">
      <c r="B703" s="24"/>
    </row>
    <row r="704" ht="14.25" customHeight="1">
      <c r="B704" s="24"/>
    </row>
    <row r="705" ht="14.25" customHeight="1">
      <c r="B705" s="24"/>
    </row>
    <row r="706" ht="14.25" customHeight="1">
      <c r="B706" s="24"/>
    </row>
    <row r="707" ht="14.25" customHeight="1">
      <c r="B707" s="24"/>
    </row>
    <row r="708" ht="14.25" customHeight="1">
      <c r="B708" s="24"/>
    </row>
    <row r="709" ht="14.25" customHeight="1">
      <c r="B709" s="24"/>
    </row>
    <row r="710" ht="14.25" customHeight="1">
      <c r="B710" s="24"/>
    </row>
    <row r="711" ht="14.25" customHeight="1">
      <c r="B711" s="24"/>
    </row>
    <row r="712" ht="14.25" customHeight="1">
      <c r="B712" s="24"/>
    </row>
    <row r="713" ht="14.25" customHeight="1">
      <c r="B713" s="24"/>
    </row>
    <row r="714" ht="14.25" customHeight="1">
      <c r="B714" s="24"/>
    </row>
    <row r="715" ht="14.25" customHeight="1">
      <c r="B715" s="24"/>
    </row>
    <row r="716" ht="14.25" customHeight="1">
      <c r="B716" s="24"/>
    </row>
    <row r="717" ht="14.25" customHeight="1">
      <c r="B717" s="24"/>
    </row>
    <row r="718" ht="14.25" customHeight="1">
      <c r="B718" s="24"/>
    </row>
    <row r="719" ht="14.25" customHeight="1">
      <c r="B719" s="24"/>
    </row>
    <row r="720" ht="14.25" customHeight="1">
      <c r="B720" s="24"/>
    </row>
    <row r="721" ht="14.25" customHeight="1">
      <c r="B721" s="24"/>
    </row>
    <row r="722" ht="14.25" customHeight="1">
      <c r="B722" s="24"/>
    </row>
    <row r="723" ht="14.25" customHeight="1">
      <c r="B723" s="24"/>
    </row>
    <row r="724" ht="14.25" customHeight="1">
      <c r="B724" s="24"/>
    </row>
    <row r="725" ht="14.25" customHeight="1">
      <c r="B725" s="24"/>
    </row>
    <row r="726" ht="14.25" customHeight="1">
      <c r="B726" s="24"/>
    </row>
    <row r="727" ht="14.25" customHeight="1">
      <c r="B727" s="24"/>
    </row>
    <row r="728" ht="14.25" customHeight="1">
      <c r="B728" s="24"/>
    </row>
    <row r="729" ht="14.25" customHeight="1">
      <c r="B729" s="24"/>
    </row>
    <row r="730" ht="14.25" customHeight="1">
      <c r="B730" s="24"/>
    </row>
    <row r="731" ht="14.25" customHeight="1">
      <c r="B731" s="24"/>
    </row>
    <row r="732" ht="14.25" customHeight="1">
      <c r="B732" s="24"/>
    </row>
    <row r="733" ht="14.25" customHeight="1">
      <c r="B733" s="24"/>
    </row>
    <row r="734" ht="14.25" customHeight="1">
      <c r="B734" s="24"/>
    </row>
    <row r="735" ht="14.25" customHeight="1">
      <c r="B735" s="24"/>
    </row>
    <row r="736" ht="14.25" customHeight="1">
      <c r="B736" s="24"/>
    </row>
    <row r="737" ht="14.25" customHeight="1">
      <c r="B737" s="24"/>
    </row>
    <row r="738" ht="14.25" customHeight="1">
      <c r="B738" s="24"/>
    </row>
    <row r="739" ht="14.25" customHeight="1">
      <c r="B739" s="24"/>
    </row>
    <row r="740" ht="14.25" customHeight="1">
      <c r="B740" s="24"/>
    </row>
    <row r="741" ht="14.25" customHeight="1">
      <c r="B741" s="24"/>
    </row>
    <row r="742" ht="14.25" customHeight="1">
      <c r="B742" s="24"/>
    </row>
    <row r="743" ht="14.25" customHeight="1">
      <c r="B743" s="24"/>
    </row>
    <row r="744" ht="14.25" customHeight="1">
      <c r="B744" s="24"/>
    </row>
    <row r="745" ht="14.25" customHeight="1">
      <c r="B745" s="24"/>
    </row>
    <row r="746" ht="14.25" customHeight="1">
      <c r="B746" s="24"/>
    </row>
    <row r="747" ht="14.25" customHeight="1">
      <c r="B747" s="24"/>
    </row>
    <row r="748" ht="14.25" customHeight="1">
      <c r="B748" s="24"/>
    </row>
    <row r="749" ht="14.25" customHeight="1">
      <c r="B749" s="24"/>
    </row>
    <row r="750" ht="14.25" customHeight="1">
      <c r="B750" s="24"/>
    </row>
    <row r="751" ht="14.25" customHeight="1">
      <c r="B751" s="24"/>
    </row>
    <row r="752" ht="14.25" customHeight="1">
      <c r="B752" s="24"/>
    </row>
    <row r="753" ht="14.25" customHeight="1">
      <c r="B753" s="24"/>
    </row>
    <row r="754" ht="14.25" customHeight="1">
      <c r="B754" s="24"/>
    </row>
    <row r="755" ht="14.25" customHeight="1">
      <c r="B755" s="24"/>
    </row>
    <row r="756" ht="14.25" customHeight="1">
      <c r="B756" s="24"/>
    </row>
    <row r="757" ht="14.25" customHeight="1">
      <c r="B757" s="24"/>
    </row>
    <row r="758" ht="14.25" customHeight="1">
      <c r="B758" s="24"/>
    </row>
    <row r="759" ht="14.25" customHeight="1">
      <c r="B759" s="24"/>
    </row>
    <row r="760" ht="14.25" customHeight="1">
      <c r="B760" s="24"/>
    </row>
    <row r="761" ht="14.25" customHeight="1">
      <c r="B761" s="24"/>
    </row>
    <row r="762" ht="14.25" customHeight="1">
      <c r="B762" s="24"/>
    </row>
    <row r="763" ht="14.25" customHeight="1">
      <c r="B763" s="24"/>
    </row>
    <row r="764" ht="14.25" customHeight="1">
      <c r="B764" s="24"/>
    </row>
    <row r="765" ht="14.25" customHeight="1">
      <c r="B765" s="24"/>
    </row>
    <row r="766" ht="14.25" customHeight="1">
      <c r="B766" s="24"/>
    </row>
    <row r="767" ht="14.25" customHeight="1">
      <c r="B767" s="24"/>
    </row>
    <row r="768" ht="14.25" customHeight="1">
      <c r="B768" s="24"/>
    </row>
    <row r="769" ht="14.25" customHeight="1">
      <c r="B769" s="24"/>
    </row>
    <row r="770" ht="14.25" customHeight="1">
      <c r="B770" s="24"/>
    </row>
    <row r="771" ht="14.25" customHeight="1">
      <c r="B771" s="24"/>
    </row>
    <row r="772" ht="14.25" customHeight="1">
      <c r="B772" s="24"/>
    </row>
    <row r="773" ht="14.25" customHeight="1">
      <c r="B773" s="24"/>
    </row>
    <row r="774" ht="14.25" customHeight="1">
      <c r="B774" s="24"/>
    </row>
    <row r="775" ht="14.25" customHeight="1">
      <c r="B775" s="24"/>
    </row>
    <row r="776" ht="14.25" customHeight="1">
      <c r="B776" s="24"/>
    </row>
    <row r="777" ht="14.25" customHeight="1">
      <c r="B777" s="24"/>
    </row>
    <row r="778" ht="14.25" customHeight="1">
      <c r="B778" s="24"/>
    </row>
    <row r="779" ht="14.25" customHeight="1">
      <c r="B779" s="24"/>
    </row>
    <row r="780" ht="14.25" customHeight="1">
      <c r="B780" s="24"/>
    </row>
    <row r="781" ht="14.25" customHeight="1">
      <c r="B781" s="24"/>
    </row>
    <row r="782" ht="14.25" customHeight="1">
      <c r="B782" s="24"/>
    </row>
    <row r="783" ht="14.25" customHeight="1">
      <c r="B783" s="24"/>
    </row>
    <row r="784" ht="14.25" customHeight="1">
      <c r="B784" s="24"/>
    </row>
    <row r="785" ht="14.25" customHeight="1">
      <c r="B785" s="24"/>
    </row>
    <row r="786" ht="14.25" customHeight="1">
      <c r="B786" s="24"/>
    </row>
    <row r="787" ht="14.25" customHeight="1">
      <c r="B787" s="24"/>
    </row>
    <row r="788" ht="14.25" customHeight="1">
      <c r="B788" s="24"/>
    </row>
    <row r="789" ht="14.25" customHeight="1">
      <c r="B789" s="24"/>
    </row>
    <row r="790" ht="14.25" customHeight="1">
      <c r="B790" s="24"/>
    </row>
    <row r="791" ht="14.25" customHeight="1">
      <c r="B791" s="24"/>
    </row>
    <row r="792" ht="14.25" customHeight="1">
      <c r="B792" s="24"/>
    </row>
    <row r="793" ht="14.25" customHeight="1">
      <c r="B793" s="24"/>
    </row>
    <row r="794" ht="14.25" customHeight="1">
      <c r="B794" s="24"/>
    </row>
    <row r="795" ht="14.25" customHeight="1">
      <c r="B795" s="24"/>
    </row>
    <row r="796" ht="14.25" customHeight="1">
      <c r="B796" s="24"/>
    </row>
    <row r="797" ht="14.25" customHeight="1">
      <c r="B797" s="24"/>
    </row>
    <row r="798" ht="14.25" customHeight="1">
      <c r="B798" s="24"/>
    </row>
    <row r="799" ht="14.25" customHeight="1">
      <c r="B799" s="24"/>
    </row>
    <row r="800" ht="14.25" customHeight="1">
      <c r="B800" s="24"/>
    </row>
    <row r="801" ht="14.25" customHeight="1">
      <c r="B801" s="24"/>
    </row>
    <row r="802" ht="14.25" customHeight="1">
      <c r="B802" s="24"/>
    </row>
    <row r="803" ht="14.25" customHeight="1">
      <c r="B803" s="24"/>
    </row>
    <row r="804" ht="14.25" customHeight="1">
      <c r="B804" s="24"/>
    </row>
    <row r="805" ht="14.25" customHeight="1">
      <c r="B805" s="24"/>
    </row>
    <row r="806" ht="14.25" customHeight="1">
      <c r="B806" s="24"/>
    </row>
    <row r="807" ht="14.25" customHeight="1">
      <c r="B807" s="24"/>
    </row>
    <row r="808" ht="14.25" customHeight="1">
      <c r="B808" s="24"/>
    </row>
    <row r="809" ht="14.25" customHeight="1">
      <c r="B809" s="24"/>
    </row>
    <row r="810" ht="14.25" customHeight="1">
      <c r="B810" s="24"/>
    </row>
    <row r="811" ht="14.25" customHeight="1">
      <c r="B811" s="24"/>
    </row>
    <row r="812" ht="14.25" customHeight="1">
      <c r="B812" s="24"/>
    </row>
    <row r="813" ht="14.25" customHeight="1">
      <c r="B813" s="24"/>
    </row>
    <row r="814" ht="14.25" customHeight="1">
      <c r="B814" s="24"/>
    </row>
    <row r="815" ht="14.25" customHeight="1">
      <c r="B815" s="24"/>
    </row>
    <row r="816" ht="14.25" customHeight="1">
      <c r="B816" s="24"/>
    </row>
    <row r="817" ht="14.25" customHeight="1">
      <c r="B817" s="24"/>
    </row>
    <row r="818" ht="14.25" customHeight="1">
      <c r="B818" s="24"/>
    </row>
    <row r="819" ht="14.25" customHeight="1">
      <c r="B819" s="24"/>
    </row>
    <row r="820" ht="14.25" customHeight="1">
      <c r="B820" s="24"/>
    </row>
    <row r="821" ht="14.25" customHeight="1">
      <c r="B821" s="24"/>
    </row>
    <row r="822" ht="14.25" customHeight="1">
      <c r="B822" s="24"/>
    </row>
    <row r="823" ht="14.25" customHeight="1">
      <c r="B823" s="24"/>
    </row>
    <row r="824" ht="14.25" customHeight="1">
      <c r="B824" s="24"/>
    </row>
    <row r="825" ht="14.25" customHeight="1">
      <c r="B825" s="24"/>
    </row>
    <row r="826" ht="14.25" customHeight="1">
      <c r="B826" s="24"/>
    </row>
    <row r="827" ht="14.25" customHeight="1">
      <c r="B827" s="24"/>
    </row>
    <row r="828" ht="14.25" customHeight="1">
      <c r="B828" s="24"/>
    </row>
    <row r="829" ht="14.25" customHeight="1">
      <c r="B829" s="24"/>
    </row>
    <row r="830" ht="14.25" customHeight="1">
      <c r="B830" s="24"/>
    </row>
    <row r="831" ht="14.25" customHeight="1">
      <c r="B831" s="24"/>
    </row>
    <row r="832" ht="14.25" customHeight="1">
      <c r="B832" s="24"/>
    </row>
    <row r="833" ht="14.25" customHeight="1">
      <c r="B833" s="24"/>
    </row>
    <row r="834" ht="14.25" customHeight="1">
      <c r="B834" s="24"/>
    </row>
    <row r="835" ht="14.25" customHeight="1">
      <c r="B835" s="24"/>
    </row>
    <row r="836" ht="14.25" customHeight="1">
      <c r="B836" s="24"/>
    </row>
    <row r="837" ht="14.25" customHeight="1">
      <c r="B837" s="24"/>
    </row>
    <row r="838" ht="14.25" customHeight="1">
      <c r="B838" s="24"/>
    </row>
    <row r="839" ht="14.25" customHeight="1">
      <c r="B839" s="24"/>
    </row>
    <row r="840" ht="14.25" customHeight="1">
      <c r="B840" s="24"/>
    </row>
    <row r="841" ht="14.25" customHeight="1">
      <c r="B841" s="24"/>
    </row>
    <row r="842" ht="14.25" customHeight="1">
      <c r="B842" s="24"/>
    </row>
    <row r="843" ht="14.25" customHeight="1">
      <c r="B843" s="24"/>
    </row>
    <row r="844" ht="14.25" customHeight="1">
      <c r="B844" s="24"/>
    </row>
    <row r="845" ht="14.25" customHeight="1">
      <c r="B845" s="24"/>
    </row>
    <row r="846" ht="14.25" customHeight="1">
      <c r="B846" s="24"/>
    </row>
    <row r="847" ht="14.25" customHeight="1">
      <c r="B847" s="24"/>
    </row>
    <row r="848" ht="14.25" customHeight="1">
      <c r="B848" s="24"/>
    </row>
    <row r="849" ht="14.25" customHeight="1">
      <c r="B849" s="24"/>
    </row>
    <row r="850" ht="14.25" customHeight="1">
      <c r="B850" s="24"/>
    </row>
    <row r="851" ht="14.25" customHeight="1">
      <c r="B851" s="24"/>
    </row>
    <row r="852" ht="14.25" customHeight="1">
      <c r="B852" s="24"/>
    </row>
    <row r="853" ht="14.25" customHeight="1">
      <c r="B853" s="24"/>
    </row>
    <row r="854" ht="14.25" customHeight="1">
      <c r="B854" s="24"/>
    </row>
    <row r="855" ht="14.25" customHeight="1">
      <c r="B855" s="24"/>
    </row>
    <row r="856" ht="14.25" customHeight="1">
      <c r="B856" s="24"/>
    </row>
    <row r="857" ht="14.25" customHeight="1">
      <c r="B857" s="24"/>
    </row>
    <row r="858" ht="14.25" customHeight="1">
      <c r="B858" s="24"/>
    </row>
    <row r="859" ht="14.25" customHeight="1">
      <c r="B859" s="24"/>
    </row>
    <row r="860" ht="14.25" customHeight="1">
      <c r="B860" s="24"/>
    </row>
    <row r="861" ht="14.25" customHeight="1">
      <c r="B861" s="24"/>
    </row>
    <row r="862" ht="14.25" customHeight="1">
      <c r="B862" s="24"/>
    </row>
    <row r="863" ht="14.25" customHeight="1">
      <c r="B863" s="24"/>
    </row>
    <row r="864" ht="14.25" customHeight="1">
      <c r="B864" s="24"/>
    </row>
    <row r="865" ht="14.25" customHeight="1">
      <c r="B865" s="24"/>
    </row>
    <row r="866" ht="14.25" customHeight="1">
      <c r="B866" s="24"/>
    </row>
    <row r="867" ht="14.25" customHeight="1">
      <c r="B867" s="24"/>
    </row>
    <row r="868" ht="14.25" customHeight="1">
      <c r="B868" s="24"/>
    </row>
    <row r="869" ht="14.25" customHeight="1">
      <c r="B869" s="24"/>
    </row>
    <row r="870" ht="14.25" customHeight="1">
      <c r="B870" s="24"/>
    </row>
    <row r="871" ht="14.25" customHeight="1">
      <c r="B871" s="24"/>
    </row>
    <row r="872" ht="14.25" customHeight="1">
      <c r="B872" s="24"/>
    </row>
    <row r="873" ht="14.25" customHeight="1">
      <c r="B873" s="24"/>
    </row>
    <row r="874" ht="14.25" customHeight="1">
      <c r="B874" s="24"/>
    </row>
    <row r="875" ht="14.25" customHeight="1">
      <c r="B875" s="24"/>
    </row>
    <row r="876" ht="14.25" customHeight="1">
      <c r="B876" s="24"/>
    </row>
    <row r="877" ht="14.25" customHeight="1">
      <c r="B877" s="24"/>
    </row>
    <row r="878" ht="14.25" customHeight="1">
      <c r="B878" s="24"/>
    </row>
    <row r="879" ht="14.25" customHeight="1">
      <c r="B879" s="24"/>
    </row>
    <row r="880" ht="14.25" customHeight="1">
      <c r="B880" s="24"/>
    </row>
    <row r="881" ht="14.25" customHeight="1">
      <c r="B881" s="24"/>
    </row>
    <row r="882" ht="14.25" customHeight="1">
      <c r="B882" s="24"/>
    </row>
    <row r="883" ht="14.25" customHeight="1">
      <c r="B883" s="24"/>
    </row>
    <row r="884" ht="14.25" customHeight="1">
      <c r="B884" s="24"/>
    </row>
    <row r="885" ht="14.25" customHeight="1">
      <c r="B885" s="24"/>
    </row>
    <row r="886" ht="14.25" customHeight="1">
      <c r="B886" s="24"/>
    </row>
    <row r="887" ht="14.25" customHeight="1">
      <c r="B887" s="24"/>
    </row>
    <row r="888" ht="14.25" customHeight="1">
      <c r="B888" s="24"/>
    </row>
    <row r="889" ht="14.25" customHeight="1">
      <c r="B889" s="24"/>
    </row>
    <row r="890" ht="14.25" customHeight="1">
      <c r="B890" s="24"/>
    </row>
    <row r="891" ht="14.25" customHeight="1">
      <c r="B891" s="24"/>
    </row>
    <row r="892" ht="14.25" customHeight="1">
      <c r="B892" s="24"/>
    </row>
    <row r="893" ht="14.25" customHeight="1">
      <c r="B893" s="24"/>
    </row>
    <row r="894" ht="14.25" customHeight="1">
      <c r="B894" s="24"/>
    </row>
    <row r="895" ht="14.25" customHeight="1">
      <c r="B895" s="24"/>
    </row>
    <row r="896" ht="14.25" customHeight="1">
      <c r="B896" s="24"/>
    </row>
    <row r="897" ht="14.25" customHeight="1">
      <c r="B897" s="24"/>
    </row>
    <row r="898" ht="14.25" customHeight="1">
      <c r="B898" s="24"/>
    </row>
    <row r="899" ht="14.25" customHeight="1">
      <c r="B899" s="24"/>
    </row>
    <row r="900" ht="14.25" customHeight="1">
      <c r="B900" s="24"/>
    </row>
    <row r="901" ht="14.25" customHeight="1">
      <c r="B901" s="24"/>
    </row>
    <row r="902" ht="14.25" customHeight="1">
      <c r="B902" s="24"/>
    </row>
    <row r="903" ht="14.25" customHeight="1">
      <c r="B903" s="24"/>
    </row>
    <row r="904" ht="14.25" customHeight="1">
      <c r="B904" s="24"/>
    </row>
    <row r="905" ht="14.25" customHeight="1">
      <c r="B905" s="24"/>
    </row>
    <row r="906" ht="14.25" customHeight="1">
      <c r="B906" s="24"/>
    </row>
    <row r="907" ht="14.25" customHeight="1">
      <c r="B907" s="24"/>
    </row>
    <row r="908" ht="14.25" customHeight="1">
      <c r="B908" s="24"/>
    </row>
    <row r="909" ht="14.25" customHeight="1">
      <c r="B909" s="24"/>
    </row>
    <row r="910" ht="14.25" customHeight="1">
      <c r="B910" s="24"/>
    </row>
    <row r="911" ht="14.25" customHeight="1">
      <c r="B911" s="24"/>
    </row>
    <row r="912" ht="14.25" customHeight="1">
      <c r="B912" s="24"/>
    </row>
    <row r="913" ht="14.25" customHeight="1">
      <c r="B913" s="24"/>
    </row>
    <row r="914" ht="14.25" customHeight="1">
      <c r="B914" s="24"/>
    </row>
    <row r="915" ht="14.25" customHeight="1">
      <c r="B915" s="24"/>
    </row>
    <row r="916" ht="14.25" customHeight="1">
      <c r="B916" s="24"/>
    </row>
    <row r="917" ht="14.25" customHeight="1">
      <c r="B917" s="24"/>
    </row>
    <row r="918" ht="14.25" customHeight="1">
      <c r="B918" s="24"/>
    </row>
    <row r="919" ht="14.25" customHeight="1">
      <c r="B919" s="24"/>
    </row>
    <row r="920" ht="14.25" customHeight="1">
      <c r="B920" s="24"/>
    </row>
    <row r="921" ht="14.25" customHeight="1">
      <c r="B921" s="24"/>
    </row>
    <row r="922" ht="14.25" customHeight="1">
      <c r="B922" s="24"/>
    </row>
    <row r="923" ht="14.25" customHeight="1">
      <c r="B923" s="24"/>
    </row>
    <row r="924" ht="14.25" customHeight="1">
      <c r="B924" s="24"/>
    </row>
    <row r="925" ht="14.25" customHeight="1">
      <c r="B925" s="24"/>
    </row>
    <row r="926" ht="14.25" customHeight="1">
      <c r="B926" s="24"/>
    </row>
    <row r="927" ht="14.25" customHeight="1">
      <c r="B927" s="24"/>
    </row>
    <row r="928" ht="14.25" customHeight="1">
      <c r="B928" s="24"/>
    </row>
    <row r="929" ht="14.25" customHeight="1">
      <c r="B929" s="24"/>
    </row>
    <row r="930" ht="14.25" customHeight="1">
      <c r="B930" s="24"/>
    </row>
    <row r="931" ht="14.25" customHeight="1">
      <c r="B931" s="24"/>
    </row>
    <row r="932" ht="14.25" customHeight="1">
      <c r="B932" s="24"/>
    </row>
    <row r="933" ht="14.25" customHeight="1">
      <c r="B933" s="24"/>
    </row>
    <row r="934" ht="14.25" customHeight="1">
      <c r="B934" s="24"/>
    </row>
    <row r="935" ht="14.25" customHeight="1">
      <c r="B935" s="24"/>
    </row>
    <row r="936" ht="14.25" customHeight="1">
      <c r="B936" s="24"/>
    </row>
    <row r="937" ht="14.25" customHeight="1">
      <c r="B937" s="24"/>
    </row>
    <row r="938" ht="14.25" customHeight="1">
      <c r="B938" s="24"/>
    </row>
    <row r="939" ht="14.25" customHeight="1">
      <c r="B939" s="24"/>
    </row>
    <row r="940" ht="14.25" customHeight="1">
      <c r="B940" s="24"/>
    </row>
    <row r="941" ht="14.25" customHeight="1">
      <c r="B941" s="24"/>
    </row>
    <row r="942" ht="14.25" customHeight="1">
      <c r="B942" s="24"/>
    </row>
    <row r="943" ht="14.25" customHeight="1">
      <c r="B943" s="24"/>
    </row>
    <row r="944" ht="14.25" customHeight="1">
      <c r="B944" s="24"/>
    </row>
    <row r="945" ht="14.25" customHeight="1">
      <c r="B945" s="24"/>
    </row>
    <row r="946" ht="14.25" customHeight="1">
      <c r="B946" s="24"/>
    </row>
    <row r="947" ht="14.25" customHeight="1">
      <c r="B947" s="24"/>
    </row>
    <row r="948" ht="14.25" customHeight="1">
      <c r="B948" s="24"/>
    </row>
    <row r="949" ht="14.25" customHeight="1">
      <c r="B949" s="24"/>
    </row>
    <row r="950" ht="14.25" customHeight="1">
      <c r="B950" s="24"/>
    </row>
    <row r="951" ht="14.25" customHeight="1">
      <c r="B951" s="24"/>
    </row>
    <row r="952" ht="14.25" customHeight="1">
      <c r="B952" s="24"/>
    </row>
    <row r="953" ht="14.25" customHeight="1">
      <c r="B953" s="24"/>
    </row>
    <row r="954" ht="14.25" customHeight="1">
      <c r="B954" s="24"/>
    </row>
    <row r="955" ht="14.25" customHeight="1">
      <c r="B955" s="24"/>
    </row>
    <row r="956" ht="14.25" customHeight="1">
      <c r="B956" s="24"/>
    </row>
    <row r="957" ht="14.25" customHeight="1">
      <c r="B957" s="24"/>
    </row>
    <row r="958" ht="14.25" customHeight="1">
      <c r="B958" s="24"/>
    </row>
    <row r="959" ht="14.25" customHeight="1">
      <c r="B959" s="24"/>
    </row>
    <row r="960" ht="14.25" customHeight="1">
      <c r="B960" s="24"/>
    </row>
    <row r="961" ht="14.25" customHeight="1">
      <c r="B961" s="24"/>
    </row>
    <row r="962" ht="14.25" customHeight="1">
      <c r="B962" s="24"/>
    </row>
    <row r="963" ht="14.25" customHeight="1">
      <c r="B963" s="24"/>
    </row>
    <row r="964" ht="14.25" customHeight="1">
      <c r="B964" s="24"/>
    </row>
    <row r="965" ht="14.25" customHeight="1">
      <c r="B965" s="24"/>
    </row>
    <row r="966" ht="14.25" customHeight="1">
      <c r="B966" s="24"/>
    </row>
    <row r="967" ht="14.25" customHeight="1">
      <c r="B967" s="24"/>
    </row>
    <row r="968" ht="14.25" customHeight="1">
      <c r="B968" s="24"/>
    </row>
    <row r="969" ht="14.25" customHeight="1">
      <c r="B969" s="24"/>
    </row>
    <row r="970" ht="14.25" customHeight="1">
      <c r="B970" s="24"/>
    </row>
    <row r="971" ht="14.25" customHeight="1">
      <c r="B971" s="24"/>
    </row>
    <row r="972" ht="14.25" customHeight="1">
      <c r="B972" s="24"/>
    </row>
    <row r="973" ht="14.25" customHeight="1">
      <c r="B973" s="24"/>
    </row>
    <row r="974" ht="14.25" customHeight="1">
      <c r="B974" s="24"/>
    </row>
    <row r="975" ht="14.25" customHeight="1">
      <c r="B975" s="24"/>
    </row>
    <row r="976" ht="14.25" customHeight="1">
      <c r="B976" s="24"/>
    </row>
    <row r="977" ht="14.25" customHeight="1">
      <c r="B977" s="24"/>
    </row>
    <row r="978" ht="14.25" customHeight="1">
      <c r="B978" s="24"/>
    </row>
    <row r="979" ht="14.25" customHeight="1">
      <c r="B979" s="24"/>
    </row>
    <row r="980" ht="14.25" customHeight="1">
      <c r="B980" s="24"/>
    </row>
    <row r="981" ht="14.25" customHeight="1">
      <c r="B981" s="24"/>
    </row>
    <row r="982" ht="14.25" customHeight="1">
      <c r="B982" s="24"/>
    </row>
    <row r="983" ht="14.25" customHeight="1">
      <c r="B983" s="24"/>
    </row>
    <row r="984" ht="14.25" customHeight="1">
      <c r="B984" s="24"/>
    </row>
    <row r="985" ht="14.25" customHeight="1">
      <c r="B985" s="24"/>
    </row>
    <row r="986" ht="14.25" customHeight="1">
      <c r="B986" s="24"/>
    </row>
    <row r="987" ht="14.25" customHeight="1">
      <c r="B987" s="24"/>
    </row>
    <row r="988" ht="14.25" customHeight="1">
      <c r="B988" s="24"/>
    </row>
    <row r="989" ht="14.25" customHeight="1">
      <c r="B989" s="24"/>
    </row>
    <row r="990" ht="14.25" customHeight="1">
      <c r="B990" s="24"/>
    </row>
    <row r="991" ht="14.25" customHeight="1">
      <c r="B991" s="24"/>
    </row>
    <row r="992" ht="14.25" customHeight="1">
      <c r="B992" s="24"/>
    </row>
    <row r="993" ht="14.25" customHeight="1">
      <c r="B993" s="24"/>
    </row>
    <row r="994" ht="14.25" customHeight="1">
      <c r="B994" s="24"/>
    </row>
    <row r="995" ht="14.25" customHeight="1">
      <c r="B995" s="24"/>
    </row>
    <row r="996" ht="14.25" customHeight="1">
      <c r="B996" s="24"/>
    </row>
    <row r="997" ht="14.25" customHeight="1">
      <c r="B997" s="24"/>
    </row>
    <row r="998" ht="14.25" customHeight="1">
      <c r="B998" s="24"/>
    </row>
    <row r="999" ht="14.25" customHeight="1">
      <c r="B999" s="24"/>
    </row>
    <row r="1000" ht="14.25" customHeight="1">
      <c r="B1000" s="24"/>
    </row>
  </sheetData>
  <mergeCells count="33">
    <mergeCell ref="D2:H5"/>
    <mergeCell ref="D6:H6"/>
    <mergeCell ref="D7:H7"/>
    <mergeCell ref="D8:H8"/>
    <mergeCell ref="D9:H9"/>
    <mergeCell ref="D10:H10"/>
    <mergeCell ref="D11:H11"/>
    <mergeCell ref="D12:H12"/>
    <mergeCell ref="C13:H13"/>
    <mergeCell ref="D14:H15"/>
    <mergeCell ref="D16:H16"/>
    <mergeCell ref="D17:E17"/>
    <mergeCell ref="F17:H17"/>
    <mergeCell ref="C19:G19"/>
    <mergeCell ref="C14:C15"/>
    <mergeCell ref="C54:D54"/>
    <mergeCell ref="C56:D56"/>
    <mergeCell ref="D57:H60"/>
    <mergeCell ref="D61:H61"/>
    <mergeCell ref="D62:H62"/>
    <mergeCell ref="D63:H63"/>
    <mergeCell ref="D71:H71"/>
    <mergeCell ref="D72:E72"/>
    <mergeCell ref="F72:H72"/>
    <mergeCell ref="C74:I74"/>
    <mergeCell ref="D64:H64"/>
    <mergeCell ref="D65:H65"/>
    <mergeCell ref="D66:H66"/>
    <mergeCell ref="D67:H67"/>
    <mergeCell ref="C68:H68"/>
    <mergeCell ref="C69:C70"/>
    <mergeCell ref="D69:H70"/>
    <mergeCell ref="B108:D108"/>
  </mergeCells>
  <printOptions/>
  <pageMargins bottom="0.7480314960629921" footer="0.0" header="0.0" left="0.2362204724409449" right="0.2362204724409449" top="0.4330708661417323"/>
  <pageSetup paperSize="9" orientation="landscape"/>
  <headerFooter>
    <oddFooter>&amp;LAnexo 2 - MS- 0028921 Rev.03- 594-1 / 594-2&amp;RPágina &amp;P de 2</oddFooter>
  </headerFooter>
  <rowBreaks count="1" manualBreakCount="1">
    <brk id="55" man="1"/>
  </rowBreaks>
  <drawing r:id="rId1"/>
</worksheet>
</file>